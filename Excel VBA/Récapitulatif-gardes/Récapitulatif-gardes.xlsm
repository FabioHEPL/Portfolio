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/>
  <bookViews>
    <workbookView xWindow="240" yWindow="105" windowWidth="14805" windowHeight="8010"/>
  </bookViews>
  <sheets>
    <sheet name="Modèle récapitulatif gardes" sheetId="1" r:id="rId1"/>
    <sheet name="Paramètres" sheetId="2" r:id="rId2"/>
  </sheets>
  <functionGroups builtInGroupCount="18"/>
  <definedNames>
    <definedName name="Date_Garde">'Modèle récapitulatif gardes'!#REF!</definedName>
    <definedName name="Peloton_Garde">'Modèle récapitulatif gardes'!#REF!</definedName>
  </definedNames>
  <calcPr calcId="152511"/>
</workbook>
</file>

<file path=xl/calcChain.xml><?xml version="1.0" encoding="utf-8"?>
<calcChain xmlns="http://schemas.openxmlformats.org/spreadsheetml/2006/main">
  <c r="D291" i="1" l="1"/>
  <c r="D293" i="1" l="1"/>
  <c r="D297" i="1" l="1"/>
  <c r="D296" i="1"/>
  <c r="D295" i="1"/>
  <c r="D294" i="1"/>
  <c r="D292" i="1"/>
  <c r="A1" i="1" l="1"/>
</calcChain>
</file>

<file path=xl/sharedStrings.xml><?xml version="1.0" encoding="utf-8"?>
<sst xmlns="http://schemas.openxmlformats.org/spreadsheetml/2006/main" count="753" uniqueCount="445">
  <si>
    <t>Pompe</t>
  </si>
  <si>
    <t>Gradé</t>
  </si>
  <si>
    <t>Chauffeur</t>
  </si>
  <si>
    <t>Sapeurs</t>
  </si>
  <si>
    <t>Echelle</t>
  </si>
  <si>
    <t>D</t>
  </si>
  <si>
    <t>A2</t>
  </si>
  <si>
    <t>H2</t>
  </si>
  <si>
    <t>B8</t>
  </si>
  <si>
    <t>Nombre de lignes à copier 
de la fiche formatage</t>
  </si>
  <si>
    <t>B10</t>
  </si>
  <si>
    <t>B11</t>
  </si>
  <si>
    <t>Colonne contenant le formatage des cellules</t>
  </si>
  <si>
    <t>E</t>
  </si>
  <si>
    <r>
      <t xml:space="preserve">Colonne contenant les adresses des cellules </t>
    </r>
    <r>
      <rPr>
        <b/>
        <sz val="9"/>
        <color theme="1"/>
        <rFont val="Verdana"/>
        <family val="2"/>
      </rPr>
      <t>(doit être la dernière)</t>
    </r>
  </si>
  <si>
    <t>Modèle vehicule</t>
  </si>
  <si>
    <t>Désincarceration</t>
  </si>
  <si>
    <t>Porte-containers</t>
  </si>
  <si>
    <t>ID_VEHICULE</t>
  </si>
  <si>
    <t>NOM_GRADÉ</t>
  </si>
  <si>
    <t>NOM_CHAUFFEUR</t>
  </si>
  <si>
    <t>NOM_SAPEUR_1</t>
  </si>
  <si>
    <t>NOM_SAPEUR_2</t>
  </si>
  <si>
    <t>NOM_SAPEUR_3</t>
  </si>
  <si>
    <t>NOM_SAPEUR_4</t>
  </si>
  <si>
    <t>ID_PELOTON</t>
  </si>
  <si>
    <t>HERMALLE</t>
  </si>
  <si>
    <t>SART-TILMAN</t>
  </si>
  <si>
    <t>GRÂCE-HOLLOGNE</t>
  </si>
  <si>
    <t>A7</t>
  </si>
  <si>
    <t>B9</t>
  </si>
  <si>
    <t>B12</t>
  </si>
  <si>
    <t>B13</t>
  </si>
  <si>
    <t>A14</t>
  </si>
  <si>
    <t>B15</t>
  </si>
  <si>
    <t>B16</t>
  </si>
  <si>
    <t>A17</t>
  </si>
  <si>
    <t>B18</t>
  </si>
  <si>
    <t>B19</t>
  </si>
  <si>
    <t>B20</t>
  </si>
  <si>
    <t>A21</t>
  </si>
  <si>
    <t>B22</t>
  </si>
  <si>
    <t>C7</t>
  </si>
  <si>
    <t>D8</t>
  </si>
  <si>
    <t>D9</t>
  </si>
  <si>
    <t>D10</t>
  </si>
  <si>
    <t>D11</t>
  </si>
  <si>
    <t>D12</t>
  </si>
  <si>
    <t>D13</t>
  </si>
  <si>
    <t>C14</t>
  </si>
  <si>
    <t>D15</t>
  </si>
  <si>
    <t>D16</t>
  </si>
  <si>
    <t>C17</t>
  </si>
  <si>
    <t>D18</t>
  </si>
  <si>
    <t>D19</t>
  </si>
  <si>
    <t>D20</t>
  </si>
  <si>
    <t>C21</t>
  </si>
  <si>
    <t>D22</t>
  </si>
  <si>
    <t>D23</t>
  </si>
  <si>
    <t>E7</t>
  </si>
  <si>
    <t>F8</t>
  </si>
  <si>
    <t>F9</t>
  </si>
  <si>
    <t>F10</t>
  </si>
  <si>
    <t>F11</t>
  </si>
  <si>
    <t>F12</t>
  </si>
  <si>
    <t>F13</t>
  </si>
  <si>
    <t>E14</t>
  </si>
  <si>
    <t>F15</t>
  </si>
  <si>
    <t>F16</t>
  </si>
  <si>
    <t>E17</t>
  </si>
  <si>
    <t>F18</t>
  </si>
  <si>
    <t>F19</t>
  </si>
  <si>
    <t>F20</t>
  </si>
  <si>
    <t>E21</t>
  </si>
  <si>
    <t>F22</t>
  </si>
  <si>
    <t>F23</t>
  </si>
  <si>
    <t>ANS</t>
  </si>
  <si>
    <t>Médecin</t>
  </si>
  <si>
    <t>Ambulance</t>
  </si>
  <si>
    <t>NOM_MEDECIN</t>
  </si>
  <si>
    <t>G4</t>
  </si>
  <si>
    <t>H5</t>
  </si>
  <si>
    <t>H6</t>
  </si>
  <si>
    <t>CASERNE CENTRALE</t>
  </si>
  <si>
    <t>Officiers</t>
  </si>
  <si>
    <t>Officier 1</t>
  </si>
  <si>
    <t>Officier 2</t>
  </si>
  <si>
    <t>Adjudant de
Casernement</t>
  </si>
  <si>
    <t>Adjoint Adjudant de
Casernement</t>
  </si>
  <si>
    <t>Véhicule course</t>
  </si>
  <si>
    <t>Plongeurs</t>
  </si>
  <si>
    <t>V.I.R.</t>
  </si>
  <si>
    <t>Véhicule officier 1</t>
  </si>
  <si>
    <t>Véhicule officier 2</t>
  </si>
  <si>
    <t>1ère Pompe</t>
  </si>
  <si>
    <t>2ème Pompe</t>
  </si>
  <si>
    <t>Asp Fumée</t>
  </si>
  <si>
    <t>GRIVEGNÉE</t>
  </si>
  <si>
    <t>Citernes</t>
  </si>
  <si>
    <t>Pc Mono</t>
  </si>
  <si>
    <t>Guêpes</t>
  </si>
  <si>
    <t>Auto-échelle</t>
  </si>
  <si>
    <t>C.M.I.C.</t>
  </si>
  <si>
    <t>Amb Caserne</t>
  </si>
  <si>
    <t>Médecins</t>
  </si>
  <si>
    <t>Officier de Liason</t>
  </si>
  <si>
    <t>Officier de Sem</t>
  </si>
  <si>
    <t>NOM_MEDECIN_1</t>
  </si>
  <si>
    <t>NOM_MEDECIN_2</t>
  </si>
  <si>
    <t>NOM_OFFICIER_1</t>
  </si>
  <si>
    <t>NOM_OFFICIER_2</t>
  </si>
  <si>
    <t>Adjudants</t>
  </si>
  <si>
    <t>NOM_ADJUDANT_C</t>
  </si>
  <si>
    <t>NOM_ADJOINT_ADJ</t>
  </si>
  <si>
    <t>NOM_OFFICIER_L</t>
  </si>
  <si>
    <t>NOM_OFFICIER_S</t>
  </si>
  <si>
    <t>REPOS/RECUP</t>
  </si>
  <si>
    <t>Liste 1</t>
  </si>
  <si>
    <t>NOM_REPOS_1</t>
  </si>
  <si>
    <t>NOM_REPOS_2</t>
  </si>
  <si>
    <t>NOM_REPOS_3</t>
  </si>
  <si>
    <t>NOM_REPOS_4</t>
  </si>
  <si>
    <t>NOM_REPOS_5</t>
  </si>
  <si>
    <t>NOM_REPOS_6</t>
  </si>
  <si>
    <t>NOM_REPOS_7</t>
  </si>
  <si>
    <t>NOM_REPOS_8</t>
  </si>
  <si>
    <t>NOM_REPOS_9</t>
  </si>
  <si>
    <t>NOM_REPOS_10</t>
  </si>
  <si>
    <t>NOM_REPOS_11</t>
  </si>
  <si>
    <t>NOM_REPOS_12</t>
  </si>
  <si>
    <t>NOM_REPOS_13</t>
  </si>
  <si>
    <t>NOM_REPOS_14</t>
  </si>
  <si>
    <t>NOM_REPOS_15</t>
  </si>
  <si>
    <t>NOM_REPOS_16</t>
  </si>
  <si>
    <t>NOM_REPOS_17</t>
  </si>
  <si>
    <t>NOM_REPOS_18</t>
  </si>
  <si>
    <t>CONGÉS VA</t>
  </si>
  <si>
    <t>MALADES</t>
  </si>
  <si>
    <t>NOM_MALADE_1</t>
  </si>
  <si>
    <t>NOM_MALADE_2</t>
  </si>
  <si>
    <t>NOM_MALADE_3</t>
  </si>
  <si>
    <t>NOM_MALADE_4</t>
  </si>
  <si>
    <t>NOM_MALADE_5</t>
  </si>
  <si>
    <t>NOM_MALADE_6</t>
  </si>
  <si>
    <t>NOM_MALADE_7</t>
  </si>
  <si>
    <t>NOM_MALADE_8</t>
  </si>
  <si>
    <t>NOM_MALADE_9</t>
  </si>
  <si>
    <t>NOM_MALADE_10</t>
  </si>
  <si>
    <t>BRIGADE</t>
  </si>
  <si>
    <t>NOM_BRIGADE_1</t>
  </si>
  <si>
    <t>NOM_BRIGADE_2</t>
  </si>
  <si>
    <t>GRIMP</t>
  </si>
  <si>
    <t>NOM_GRIMP_1</t>
  </si>
  <si>
    <t>NOM_GRIMP_2</t>
  </si>
  <si>
    <t>NOM_GRIMP_3</t>
  </si>
  <si>
    <t>NOM_GRIMP_4</t>
  </si>
  <si>
    <t>NOM_GRIMP_5</t>
  </si>
  <si>
    <t>NOM_GRIMP_6</t>
  </si>
  <si>
    <t>NOM_GRIMP_7</t>
  </si>
  <si>
    <t>NOM_GRIMP_8</t>
  </si>
  <si>
    <t>NOM_GRIMP_9</t>
  </si>
  <si>
    <t>NOM_GRIMP_10</t>
  </si>
  <si>
    <t>Moyens</t>
  </si>
  <si>
    <t>MOYEN_1</t>
  </si>
  <si>
    <t>MOYEN_2</t>
  </si>
  <si>
    <t>MOYEN_3</t>
  </si>
  <si>
    <t>MOYEN_4</t>
  </si>
  <si>
    <t>MOYEN_5</t>
  </si>
  <si>
    <t>MOYEN_6</t>
  </si>
  <si>
    <t>FLEMALLE</t>
  </si>
  <si>
    <t>CONGÉS
(naissances-décès-excep-cours)</t>
  </si>
  <si>
    <t>NOM_CONGÉ_1</t>
  </si>
  <si>
    <t>NOM_CONGÉ_2</t>
  </si>
  <si>
    <t>DIVERS</t>
  </si>
  <si>
    <t>NOM_DIVERS_1</t>
  </si>
  <si>
    <t>NOM_DIVERS_2</t>
  </si>
  <si>
    <t>BLESSÉS</t>
  </si>
  <si>
    <t>SPMT</t>
  </si>
  <si>
    <t>NOM_SPMT_1</t>
  </si>
  <si>
    <t>NOM_SPMT_2</t>
  </si>
  <si>
    <t>NOM_SPMT_3</t>
  </si>
  <si>
    <t>NOM_SPMT_4</t>
  </si>
  <si>
    <t>NOM_SPMT_5</t>
  </si>
  <si>
    <t>NOM_SPMT_6</t>
  </si>
  <si>
    <t>NOM_SPMT_7</t>
  </si>
  <si>
    <t>NOM_SPMT_8</t>
  </si>
  <si>
    <t>NOM_SPMT_9</t>
  </si>
  <si>
    <t>NOM_SPMT_10</t>
  </si>
  <si>
    <t>NOM_BLESSÉ_1</t>
  </si>
  <si>
    <t>NOM_BLESSÉ_2</t>
  </si>
  <si>
    <t>NOM_BLESSÉ_3</t>
  </si>
  <si>
    <t>I7</t>
  </si>
  <si>
    <t>J8</t>
  </si>
  <si>
    <t>J9</t>
  </si>
  <si>
    <t>J10</t>
  </si>
  <si>
    <t>J11</t>
  </si>
  <si>
    <t>J12</t>
  </si>
  <si>
    <t>J13</t>
  </si>
  <si>
    <t>N4</t>
  </si>
  <si>
    <t>N5</t>
  </si>
  <si>
    <t>N6</t>
  </si>
  <si>
    <t>N8</t>
  </si>
  <si>
    <t>N9</t>
  </si>
  <si>
    <t>N10</t>
  </si>
  <si>
    <t>N11</t>
  </si>
  <si>
    <t>N12</t>
  </si>
  <si>
    <t>N13</t>
  </si>
  <si>
    <t>A27</t>
  </si>
  <si>
    <t>A30</t>
  </si>
  <si>
    <t>A33</t>
  </si>
  <si>
    <t>A35</t>
  </si>
  <si>
    <t>A37</t>
  </si>
  <si>
    <t>B38</t>
  </si>
  <si>
    <t>A40</t>
  </si>
  <si>
    <t>B41</t>
  </si>
  <si>
    <t>B42</t>
  </si>
  <si>
    <t>B43</t>
  </si>
  <si>
    <t>B44</t>
  </si>
  <si>
    <t>B45</t>
  </si>
  <si>
    <t>B46</t>
  </si>
  <si>
    <t>A48</t>
  </si>
  <si>
    <t>A52</t>
  </si>
  <si>
    <t>B49</t>
  </si>
  <si>
    <t>B50</t>
  </si>
  <si>
    <t>B53</t>
  </si>
  <si>
    <t>B54</t>
  </si>
  <si>
    <t>B55</t>
  </si>
  <si>
    <t>C26</t>
  </si>
  <si>
    <t>D27</t>
  </si>
  <si>
    <t>D28</t>
  </si>
  <si>
    <t>E26</t>
  </si>
  <si>
    <t>F27</t>
  </si>
  <si>
    <t>F28</t>
  </si>
  <si>
    <t>C30</t>
  </si>
  <si>
    <t>D31</t>
  </si>
  <si>
    <t>D32</t>
  </si>
  <si>
    <t>D33</t>
  </si>
  <si>
    <t>D34</t>
  </si>
  <si>
    <t>D35</t>
  </si>
  <si>
    <t>D36</t>
  </si>
  <si>
    <t>E30</t>
  </si>
  <si>
    <t>F31</t>
  </si>
  <si>
    <t>F32</t>
  </si>
  <si>
    <t>F33</t>
  </si>
  <si>
    <t>F34</t>
  </si>
  <si>
    <t>F35</t>
  </si>
  <si>
    <t>F36</t>
  </si>
  <si>
    <t>C38</t>
  </si>
  <si>
    <t>D39</t>
  </si>
  <si>
    <t>D40</t>
  </si>
  <si>
    <t>C42</t>
  </si>
  <si>
    <t>D43</t>
  </si>
  <si>
    <t>D44</t>
  </si>
  <si>
    <t>C46</t>
  </si>
  <si>
    <t>D47</t>
  </si>
  <si>
    <t>D48</t>
  </si>
  <si>
    <t>C50</t>
  </si>
  <si>
    <t>D51</t>
  </si>
  <si>
    <t>D52</t>
  </si>
  <si>
    <t>C53</t>
  </si>
  <si>
    <t>D54</t>
  </si>
  <si>
    <t>D55</t>
  </si>
  <si>
    <t>E38</t>
  </si>
  <si>
    <t>F39</t>
  </si>
  <si>
    <t>F40</t>
  </si>
  <si>
    <t>E42</t>
  </si>
  <si>
    <t>F43</t>
  </si>
  <si>
    <t>F44</t>
  </si>
  <si>
    <t>E46</t>
  </si>
  <si>
    <t>F47</t>
  </si>
  <si>
    <t>F48</t>
  </si>
  <si>
    <t>F49</t>
  </si>
  <si>
    <t>E51</t>
  </si>
  <si>
    <t>C.H.R.</t>
  </si>
  <si>
    <t>F52</t>
  </si>
  <si>
    <t>F53</t>
  </si>
  <si>
    <t>F54</t>
  </si>
  <si>
    <t>A57</t>
  </si>
  <si>
    <t>C57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</si>
  <si>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</si>
  <si>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</si>
  <si>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</si>
  <si>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</si>
  <si>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</si>
  <si>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</si>
  <si>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</si>
  <si>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</si>
  <si>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</si>
  <si>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</si>
  <si>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</si>
  <si>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</si>
  <si>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</si>
  <si>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</si>
  <si>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</si>
  <si>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</si>
  <si>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</si>
  <si>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</si>
  <si>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J25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</si>
  <si>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</si>
  <si>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</si>
  <si>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</si>
  <si>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</si>
  <si>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</si>
  <si>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</si>
  <si>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</si>
  <si>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</si>
  <si>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</si>
  <si>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J35</t>
  </si>
  <si>
    <t>J36</t>
  </si>
  <si>
    <t>J37</t>
  </si>
  <si>
    <t>J38</t>
  </si>
  <si>
    <t>J39</t>
  </si>
  <si>
    <t>J40</t>
  </si>
  <si>
    <t>J41</t>
  </si>
  <si>
    <t>J42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</si>
  <si>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</si>
  <si>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</si>
  <si>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</si>
  <si>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</si>
  <si>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</si>
  <si>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</si>
  <si>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</si>
  <si>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</si>
  <si>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</si>
  <si>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</si>
  <si>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J44</t>
  </si>
  <si>
    <t>J45</t>
  </si>
  <si>
    <t>J46</t>
  </si>
  <si>
    <t>J47</t>
  </si>
  <si>
    <t>J48</t>
  </si>
  <si>
    <t>J49</t>
  </si>
  <si>
    <t>J50</t>
  </si>
  <si>
    <t>J51</t>
  </si>
  <si>
    <t>J52</t>
  </si>
  <si>
    <t>J53</t>
  </si>
  <si>
    <t>H55</t>
  </si>
  <si>
    <t>H56</t>
  </si>
  <si>
    <t>J55</t>
  </si>
  <si>
    <t>J56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</si>
  <si>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</si>
  <si>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</si>
  <si>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</si>
  <si>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</si>
  <si>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</si>
  <si>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</si>
  <si>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</si>
  <si>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</si>
  <si>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</si>
  <si>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</si>
  <si>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L15</t>
  </si>
  <si>
    <t>L16</t>
  </si>
  <si>
    <t>L18</t>
  </si>
  <si>
    <t>L19</t>
  </si>
  <si>
    <t>L21</t>
  </si>
  <si>
    <t>L22</t>
  </si>
  <si>
    <t>L23</t>
  </si>
  <si>
    <t>L25</t>
  </si>
  <si>
    <t>L26</t>
  </si>
  <si>
    <t>L27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</si>
  <si>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</si>
  <si>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</si>
  <si>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</si>
  <si>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</si>
  <si>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</si>
  <si>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</si>
  <si>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</si>
  <si>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</si>
  <si>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</si>
  <si>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L37</t>
  </si>
  <si>
    <t>L38</t>
  </si>
  <si>
    <t>L39</t>
  </si>
  <si>
    <t>L40</t>
  </si>
  <si>
    <t>L41</t>
  </si>
  <si>
    <t>L42</t>
  </si>
  <si>
    <t>L44</t>
  </si>
  <si>
    <t>L45</t>
  </si>
  <si>
    <t>L46</t>
  </si>
  <si>
    <t>L47</t>
  </si>
  <si>
    <t>L48</t>
  </si>
  <si>
    <t>L49</t>
  </si>
  <si>
    <t>L50</t>
  </si>
  <si>
    <t>L51</t>
  </si>
  <si>
    <t>L52</t>
  </si>
  <si>
    <t>L53</t>
  </si>
  <si>
    <t>N15</t>
  </si>
  <si>
    <t>N16</t>
  </si>
  <si>
    <t>N18</t>
  </si>
  <si>
    <t>N19</t>
  </si>
  <si>
    <t>N21</t>
  </si>
  <si>
    <t>N22</t>
  </si>
  <si>
    <t>N23</t>
  </si>
  <si>
    <t>N44</t>
  </si>
  <si>
    <t>N45</t>
  </si>
  <si>
    <t>N46</t>
  </si>
  <si>
    <t>N47</t>
  </si>
  <si>
    <t>N48</t>
  </si>
  <si>
    <t>N49</t>
  </si>
  <si>
    <t>N50</t>
  </si>
  <si>
    <t>N51</t>
  </si>
  <si>
    <t>N52</t>
  </si>
  <si>
    <t>N53</t>
  </si>
  <si>
    <t>B23</t>
  </si>
  <si>
    <t>NOM_CONGÉ_VA_1</t>
  </si>
  <si>
    <t>NOM_CONGÉ_VA_2</t>
  </si>
  <si>
    <t>NOM_CONGÉ_VA_3</t>
  </si>
  <si>
    <t>NOM_CONGÉ_VA_4</t>
  </si>
  <si>
    <t>NOM_CONGÉ_VA_5</t>
  </si>
  <si>
    <t>NOM_CONGÉ_VA_6</t>
  </si>
  <si>
    <t>NOM_CONGÉ_VA_7</t>
  </si>
  <si>
    <t>NOM_CONGÉ_VA_8</t>
  </si>
  <si>
    <t>NOM_CONGÉ_VA_9</t>
  </si>
  <si>
    <t>NOM_CONGÉ_VA_10</t>
  </si>
  <si>
    <t>NOM_CONGÉ_VA_11</t>
  </si>
  <si>
    <t>NOM_CONGÉ_VA_12</t>
  </si>
  <si>
    <t>NOM_CONGÉ_VA_13</t>
  </si>
  <si>
    <t>NOM_CONGÉ_VA_14</t>
  </si>
  <si>
    <t>NOM_CONGÉ_VA_15</t>
  </si>
  <si>
    <t>NOM_CONGÉ_VA_16</t>
  </si>
  <si>
    <t>NOM_CONGÉ_VA_17</t>
  </si>
  <si>
    <t>NOM_CONGÉ_VA_18</t>
  </si>
  <si>
    <t>N25</t>
  </si>
  <si>
    <t>N26</t>
  </si>
  <si>
    <t>N27</t>
  </si>
  <si>
    <t>N28</t>
  </si>
  <si>
    <t>N29</t>
  </si>
  <si>
    <t>N30</t>
  </si>
  <si>
    <t>N31</t>
  </si>
  <si>
    <t>N32</t>
  </si>
  <si>
    <t>N33</t>
  </si>
  <si>
    <t>N34</t>
  </si>
  <si>
    <t>N35</t>
  </si>
  <si>
    <t>N36</t>
  </si>
  <si>
    <t>N37</t>
  </si>
  <si>
    <t>N38</t>
  </si>
  <si>
    <t>N39</t>
  </si>
  <si>
    <t>N40</t>
  </si>
  <si>
    <t>N41</t>
  </si>
  <si>
    <t>N42</t>
  </si>
  <si>
    <t>G7</t>
  </si>
  <si>
    <t>H8</t>
  </si>
  <si>
    <t>H9</t>
  </si>
  <si>
    <t>H10</t>
  </si>
  <si>
    <t>H11</t>
  </si>
  <si>
    <t>H12</t>
  </si>
  <si>
    <t>H13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</si>
</sst>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 mmmm"/>
  </numFmts>
  <fonts count="13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b/>
      <sz val="9"/>
      <color theme="1"/>
      <name val="Verdana"/>
      <family val="2"/>
    </font>
    <font>
      <b/>
      <sz val="9"/>
      <color rgb="FFFF0000"/>
      <name val="Verdana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FF0000"/>
      <name val="Arial"/>
      <family val="2"/>
    </font>
    <font>
      <sz val="8"/>
      <color rgb="FF0000FF"/>
      <name val="Arial"/>
      <family val="2"/>
    </font>
    <font>
      <sz val="8"/>
      <color theme="1"/>
      <name val="Verdana"/>
      <family val="2"/>
    </font>
    <font>
      <sz val="8"/>
      <color theme="1"/>
      <name val="Calibri"/>
      <family val="2"/>
      <scheme val="minor"/>
    </font>
    <font>
      <b/>
      <sz val="9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4D6F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6DAADD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9" fillId="0" borderId="0" xfId="0" applyFont="1"/>
    <xf numFmtId="0" fontId="4" fillId="0" borderId="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5" fillId="5" borderId="33" xfId="0" applyFont="1" applyFill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/>
    </xf>
    <xf numFmtId="164" fontId="4" fillId="4" borderId="14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18" borderId="35" xfId="0" applyFont="1" applyFill="1" applyBorder="1" applyAlignment="1">
      <alignment horizontal="center" vertical="center"/>
    </xf>
    <xf numFmtId="0" fontId="4" fillId="19" borderId="36" xfId="0" applyFont="1" applyFill="1" applyBorder="1" applyAlignment="1">
      <alignment horizontal="center" vertical="center"/>
    </xf>
    <xf numFmtId="0" fontId="4" fillId="18" borderId="36" xfId="0" applyFont="1" applyFill="1" applyBorder="1" applyAlignment="1">
      <alignment horizontal="center" vertical="center"/>
    </xf>
    <xf numFmtId="0" fontId="4" fillId="18" borderId="37" xfId="0" applyFont="1" applyFill="1" applyBorder="1" applyAlignment="1">
      <alignment horizontal="center" vertical="center"/>
    </xf>
    <xf numFmtId="0" fontId="4" fillId="19" borderId="38" xfId="0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 textRotation="45" wrapText="1"/>
    </xf>
    <xf numFmtId="0" fontId="11" fillId="0" borderId="7" xfId="0" applyFont="1" applyBorder="1" applyAlignment="1">
      <alignment horizontal="center" vertical="center" textRotation="45" wrapText="1"/>
    </xf>
    <xf numFmtId="0" fontId="11" fillId="0" borderId="6" xfId="0" applyFont="1" applyBorder="1" applyAlignment="1">
      <alignment horizontal="center" vertical="center" textRotation="45" wrapText="1"/>
    </xf>
    <xf numFmtId="0" fontId="11" fillId="0" borderId="2" xfId="0" applyFont="1" applyBorder="1" applyAlignment="1">
      <alignment horizontal="center" vertical="center" textRotation="45" wrapText="1"/>
    </xf>
    <xf numFmtId="0" fontId="11" fillId="0" borderId="0" xfId="0" applyFont="1" applyBorder="1" applyAlignment="1">
      <alignment horizontal="center" vertical="center" textRotation="45" wrapText="1"/>
    </xf>
    <xf numFmtId="0" fontId="11" fillId="0" borderId="8" xfId="0" applyFont="1" applyBorder="1" applyAlignment="1">
      <alignment horizontal="center" vertical="center" textRotation="45" wrapText="1"/>
    </xf>
    <xf numFmtId="0" fontId="11" fillId="0" borderId="32" xfId="0" applyFont="1" applyBorder="1" applyAlignment="1">
      <alignment horizontal="center" vertical="center" textRotation="45" wrapText="1"/>
    </xf>
    <xf numFmtId="0" fontId="11" fillId="0" borderId="31" xfId="0" applyFont="1" applyBorder="1" applyAlignment="1">
      <alignment horizontal="center" vertical="center" textRotation="45" wrapText="1"/>
    </xf>
    <xf numFmtId="0" fontId="11" fillId="0" borderId="39" xfId="0" applyFont="1" applyBorder="1" applyAlignment="1">
      <alignment horizontal="center" vertical="center" textRotation="45" wrapText="1"/>
    </xf>
    <xf numFmtId="0" fontId="11" fillId="5" borderId="3" xfId="0" applyFont="1" applyFill="1" applyBorder="1" applyAlignment="1">
      <alignment horizontal="center" vertical="center" wrapText="1"/>
    </xf>
    <xf numFmtId="0" fontId="11" fillId="5" borderId="7" xfId="0" applyFont="1" applyFill="1" applyBorder="1" applyAlignment="1">
      <alignment horizontal="center" vertical="center" wrapText="1"/>
    </xf>
    <xf numFmtId="0" fontId="11" fillId="5" borderId="6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0" xfId="0" applyFont="1" applyFill="1" applyBorder="1" applyAlignment="1">
      <alignment horizontal="center" vertical="center" wrapText="1"/>
    </xf>
    <xf numFmtId="0" fontId="11" fillId="5" borderId="8" xfId="0" applyFont="1" applyFill="1" applyBorder="1" applyAlignment="1">
      <alignment horizontal="center" vertical="center" wrapText="1"/>
    </xf>
    <xf numFmtId="0" fontId="11" fillId="5" borderId="32" xfId="0" applyFont="1" applyFill="1" applyBorder="1" applyAlignment="1">
      <alignment horizontal="center" vertical="center" wrapText="1"/>
    </xf>
    <xf numFmtId="0" fontId="11" fillId="5" borderId="31" xfId="0" applyFont="1" applyFill="1" applyBorder="1" applyAlignment="1">
      <alignment horizontal="center" vertical="center" wrapText="1"/>
    </xf>
    <xf numFmtId="0" fontId="11" fillId="5" borderId="39" xfId="0" applyFont="1" applyFill="1" applyBorder="1" applyAlignment="1">
      <alignment horizontal="center" vertical="center" wrapText="1"/>
    </xf>
    <xf numFmtId="0" fontId="11" fillId="16" borderId="3" xfId="0" applyFont="1" applyFill="1" applyBorder="1" applyAlignment="1">
      <alignment horizontal="center" vertical="center" textRotation="45"/>
    </xf>
    <xf numFmtId="0" fontId="11" fillId="16" borderId="7" xfId="0" applyFont="1" applyFill="1" applyBorder="1" applyAlignment="1">
      <alignment horizontal="center" vertical="center" textRotation="45"/>
    </xf>
    <xf numFmtId="0" fontId="11" fillId="16" borderId="6" xfId="0" applyFont="1" applyFill="1" applyBorder="1" applyAlignment="1">
      <alignment horizontal="center" vertical="center" textRotation="45"/>
    </xf>
    <xf numFmtId="0" fontId="11" fillId="16" borderId="2" xfId="0" applyFont="1" applyFill="1" applyBorder="1" applyAlignment="1">
      <alignment horizontal="center" vertical="center" textRotation="45"/>
    </xf>
    <xf numFmtId="0" fontId="11" fillId="16" borderId="0" xfId="0" applyFont="1" applyFill="1" applyBorder="1" applyAlignment="1">
      <alignment horizontal="center" vertical="center" textRotation="45"/>
    </xf>
    <xf numFmtId="0" fontId="11" fillId="16" borderId="8" xfId="0" applyFont="1" applyFill="1" applyBorder="1" applyAlignment="1">
      <alignment horizontal="center" vertical="center" textRotation="45"/>
    </xf>
    <xf numFmtId="0" fontId="11" fillId="16" borderId="32" xfId="0" applyFont="1" applyFill="1" applyBorder="1" applyAlignment="1">
      <alignment horizontal="center" vertical="center" textRotation="45"/>
    </xf>
    <xf numFmtId="0" fontId="11" fillId="16" borderId="31" xfId="0" applyFont="1" applyFill="1" applyBorder="1" applyAlignment="1">
      <alignment horizontal="center" vertical="center" textRotation="45"/>
    </xf>
    <xf numFmtId="0" fontId="11" fillId="16" borderId="39" xfId="0" applyFont="1" applyFill="1" applyBorder="1" applyAlignment="1">
      <alignment horizontal="center" vertical="center" textRotation="45"/>
    </xf>
    <xf numFmtId="0" fontId="11" fillId="15" borderId="3" xfId="0" applyFont="1" applyFill="1" applyBorder="1" applyAlignment="1">
      <alignment horizontal="center" vertical="center" textRotation="45"/>
    </xf>
    <xf numFmtId="0" fontId="11" fillId="15" borderId="7" xfId="0" applyFont="1" applyFill="1" applyBorder="1" applyAlignment="1">
      <alignment horizontal="center" vertical="center" textRotation="45"/>
    </xf>
    <xf numFmtId="0" fontId="11" fillId="15" borderId="6" xfId="0" applyFont="1" applyFill="1" applyBorder="1" applyAlignment="1">
      <alignment horizontal="center" vertical="center" textRotation="45"/>
    </xf>
    <xf numFmtId="0" fontId="11" fillId="15" borderId="2" xfId="0" applyFont="1" applyFill="1" applyBorder="1" applyAlignment="1">
      <alignment horizontal="center" vertical="center" textRotation="45"/>
    </xf>
    <xf numFmtId="0" fontId="11" fillId="15" borderId="0" xfId="0" applyFont="1" applyFill="1" applyBorder="1" applyAlignment="1">
      <alignment horizontal="center" vertical="center" textRotation="45"/>
    </xf>
    <xf numFmtId="0" fontId="11" fillId="15" borderId="8" xfId="0" applyFont="1" applyFill="1" applyBorder="1" applyAlignment="1">
      <alignment horizontal="center" vertical="center" textRotation="45"/>
    </xf>
    <xf numFmtId="0" fontId="11" fillId="15" borderId="32" xfId="0" applyFont="1" applyFill="1" applyBorder="1" applyAlignment="1">
      <alignment horizontal="center" vertical="center" textRotation="45"/>
    </xf>
    <xf numFmtId="0" fontId="11" fillId="15" borderId="31" xfId="0" applyFont="1" applyFill="1" applyBorder="1" applyAlignment="1">
      <alignment horizontal="center" vertical="center" textRotation="45"/>
    </xf>
    <xf numFmtId="0" fontId="11" fillId="15" borderId="39" xfId="0" applyFont="1" applyFill="1" applyBorder="1" applyAlignment="1">
      <alignment horizontal="center" vertical="center" textRotation="45"/>
    </xf>
    <xf numFmtId="0" fontId="11" fillId="14" borderId="3" xfId="0" applyFont="1" applyFill="1" applyBorder="1" applyAlignment="1">
      <alignment horizontal="center" vertical="center" textRotation="45"/>
    </xf>
    <xf numFmtId="0" fontId="11" fillId="14" borderId="7" xfId="0" applyFont="1" applyFill="1" applyBorder="1" applyAlignment="1">
      <alignment horizontal="center" vertical="center" textRotation="45"/>
    </xf>
    <xf numFmtId="0" fontId="11" fillId="14" borderId="6" xfId="0" applyFont="1" applyFill="1" applyBorder="1" applyAlignment="1">
      <alignment horizontal="center" vertical="center" textRotation="45"/>
    </xf>
    <xf numFmtId="0" fontId="11" fillId="14" borderId="2" xfId="0" applyFont="1" applyFill="1" applyBorder="1" applyAlignment="1">
      <alignment horizontal="center" vertical="center" textRotation="45"/>
    </xf>
    <xf numFmtId="0" fontId="11" fillId="14" borderId="0" xfId="0" applyFont="1" applyFill="1" applyBorder="1" applyAlignment="1">
      <alignment horizontal="center" vertical="center" textRotation="45"/>
    </xf>
    <xf numFmtId="0" fontId="11" fillId="14" borderId="8" xfId="0" applyFont="1" applyFill="1" applyBorder="1" applyAlignment="1">
      <alignment horizontal="center" vertical="center" textRotation="45"/>
    </xf>
    <xf numFmtId="0" fontId="11" fillId="14" borderId="32" xfId="0" applyFont="1" applyFill="1" applyBorder="1" applyAlignment="1">
      <alignment horizontal="center" vertical="center" textRotation="45"/>
    </xf>
    <xf numFmtId="0" fontId="11" fillId="14" borderId="31" xfId="0" applyFont="1" applyFill="1" applyBorder="1" applyAlignment="1">
      <alignment horizontal="center" vertical="center" textRotation="45"/>
    </xf>
    <xf numFmtId="0" fontId="11" fillId="14" borderId="39" xfId="0" applyFont="1" applyFill="1" applyBorder="1" applyAlignment="1">
      <alignment horizontal="center" vertical="center" textRotation="45"/>
    </xf>
    <xf numFmtId="0" fontId="4" fillId="6" borderId="3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 textRotation="45"/>
    </xf>
    <xf numFmtId="0" fontId="11" fillId="4" borderId="12" xfId="0" applyFont="1" applyFill="1" applyBorder="1" applyAlignment="1">
      <alignment horizontal="center" vertical="center" textRotation="45"/>
    </xf>
    <xf numFmtId="0" fontId="11" fillId="4" borderId="14" xfId="0" applyFont="1" applyFill="1" applyBorder="1" applyAlignment="1">
      <alignment horizontal="center" vertical="center" textRotation="45"/>
    </xf>
    <xf numFmtId="0" fontId="4" fillId="0" borderId="1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 textRotation="45"/>
    </xf>
    <xf numFmtId="0" fontId="11" fillId="3" borderId="12" xfId="0" applyFont="1" applyFill="1" applyBorder="1" applyAlignment="1">
      <alignment horizontal="center" vertical="center" textRotation="45"/>
    </xf>
    <xf numFmtId="0" fontId="11" fillId="3" borderId="14" xfId="0" applyFont="1" applyFill="1" applyBorder="1" applyAlignment="1">
      <alignment horizontal="center" vertical="center" textRotation="45"/>
    </xf>
    <xf numFmtId="0" fontId="11" fillId="2" borderId="9" xfId="0" applyFont="1" applyFill="1" applyBorder="1" applyAlignment="1">
      <alignment horizontal="center" vertical="center" textRotation="45"/>
    </xf>
    <xf numFmtId="0" fontId="11" fillId="2" borderId="12" xfId="0" applyFont="1" applyFill="1" applyBorder="1" applyAlignment="1">
      <alignment horizontal="center" vertical="center" textRotation="45"/>
    </xf>
    <xf numFmtId="0" fontId="11" fillId="2" borderId="14" xfId="0" applyFont="1" applyFill="1" applyBorder="1" applyAlignment="1">
      <alignment horizontal="center" vertical="center" textRotation="45"/>
    </xf>
    <xf numFmtId="0" fontId="4" fillId="0" borderId="20" xfId="0" applyFont="1" applyBorder="1" applyAlignment="1">
      <alignment horizontal="center" vertical="center"/>
    </xf>
    <xf numFmtId="0" fontId="11" fillId="9" borderId="22" xfId="0" applyFont="1" applyFill="1" applyBorder="1" applyAlignment="1">
      <alignment horizontal="center" vertical="center" textRotation="45"/>
    </xf>
    <xf numFmtId="0" fontId="11" fillId="9" borderId="17" xfId="0" applyFont="1" applyFill="1" applyBorder="1" applyAlignment="1">
      <alignment horizontal="center" vertical="center" textRotation="45"/>
    </xf>
    <xf numFmtId="0" fontId="11" fillId="7" borderId="22" xfId="0" applyFont="1" applyFill="1" applyBorder="1" applyAlignment="1">
      <alignment horizontal="center" vertical="center" textRotation="45"/>
    </xf>
    <xf numFmtId="0" fontId="11" fillId="7" borderId="17" xfId="0" applyFont="1" applyFill="1" applyBorder="1" applyAlignment="1">
      <alignment horizontal="center" vertical="center" textRotation="45"/>
    </xf>
    <xf numFmtId="0" fontId="11" fillId="7" borderId="23" xfId="0" applyFont="1" applyFill="1" applyBorder="1" applyAlignment="1">
      <alignment horizontal="center" vertical="center" textRotation="45"/>
    </xf>
    <xf numFmtId="0" fontId="4" fillId="0" borderId="1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 textRotation="45"/>
    </xf>
    <xf numFmtId="0" fontId="11" fillId="11" borderId="7" xfId="0" applyFont="1" applyFill="1" applyBorder="1" applyAlignment="1">
      <alignment horizontal="center" vertical="center" textRotation="45"/>
    </xf>
    <xf numFmtId="0" fontId="11" fillId="11" borderId="6" xfId="0" applyFont="1" applyFill="1" applyBorder="1" applyAlignment="1">
      <alignment horizontal="center" vertical="center" textRotation="45"/>
    </xf>
    <xf numFmtId="0" fontId="11" fillId="11" borderId="2" xfId="0" applyFont="1" applyFill="1" applyBorder="1" applyAlignment="1">
      <alignment horizontal="center" vertical="center" textRotation="45"/>
    </xf>
    <xf numFmtId="0" fontId="11" fillId="11" borderId="0" xfId="0" applyFont="1" applyFill="1" applyBorder="1" applyAlignment="1">
      <alignment horizontal="center" vertical="center" textRotation="45"/>
    </xf>
    <xf numFmtId="0" fontId="11" fillId="11" borderId="8" xfId="0" applyFont="1" applyFill="1" applyBorder="1" applyAlignment="1">
      <alignment horizontal="center" vertical="center" textRotation="45"/>
    </xf>
    <xf numFmtId="0" fontId="11" fillId="11" borderId="32" xfId="0" applyFont="1" applyFill="1" applyBorder="1" applyAlignment="1">
      <alignment horizontal="center" vertical="center" textRotation="45"/>
    </xf>
    <xf numFmtId="0" fontId="11" fillId="11" borderId="31" xfId="0" applyFont="1" applyFill="1" applyBorder="1" applyAlignment="1">
      <alignment horizontal="center" vertical="center" textRotation="45"/>
    </xf>
    <xf numFmtId="0" fontId="11" fillId="11" borderId="39" xfId="0" applyFont="1" applyFill="1" applyBorder="1" applyAlignment="1">
      <alignment horizontal="center" vertical="center" textRotation="45"/>
    </xf>
    <xf numFmtId="0" fontId="11" fillId="12" borderId="3" xfId="0" applyFont="1" applyFill="1" applyBorder="1" applyAlignment="1">
      <alignment horizontal="center" vertical="center" textRotation="45"/>
    </xf>
    <xf numFmtId="0" fontId="11" fillId="12" borderId="7" xfId="0" applyFont="1" applyFill="1" applyBorder="1" applyAlignment="1">
      <alignment horizontal="center" vertical="center" textRotation="45"/>
    </xf>
    <xf numFmtId="0" fontId="11" fillId="12" borderId="6" xfId="0" applyFont="1" applyFill="1" applyBorder="1" applyAlignment="1">
      <alignment horizontal="center" vertical="center" textRotation="45"/>
    </xf>
    <xf numFmtId="0" fontId="11" fillId="12" borderId="2" xfId="0" applyFont="1" applyFill="1" applyBorder="1" applyAlignment="1">
      <alignment horizontal="center" vertical="center" textRotation="45"/>
    </xf>
    <xf numFmtId="0" fontId="11" fillId="12" borderId="0" xfId="0" applyFont="1" applyFill="1" applyBorder="1" applyAlignment="1">
      <alignment horizontal="center" vertical="center" textRotation="45"/>
    </xf>
    <xf numFmtId="0" fontId="11" fillId="12" borderId="8" xfId="0" applyFont="1" applyFill="1" applyBorder="1" applyAlignment="1">
      <alignment horizontal="center" vertical="center" textRotation="45"/>
    </xf>
    <xf numFmtId="0" fontId="11" fillId="12" borderId="32" xfId="0" applyFont="1" applyFill="1" applyBorder="1" applyAlignment="1">
      <alignment horizontal="center" vertical="center" textRotation="45"/>
    </xf>
    <xf numFmtId="0" fontId="11" fillId="12" borderId="31" xfId="0" applyFont="1" applyFill="1" applyBorder="1" applyAlignment="1">
      <alignment horizontal="center" vertical="center" textRotation="45"/>
    </xf>
    <xf numFmtId="0" fontId="11" fillId="12" borderId="39" xfId="0" applyFont="1" applyFill="1" applyBorder="1" applyAlignment="1">
      <alignment horizontal="center" vertical="center" textRotation="45"/>
    </xf>
    <xf numFmtId="0" fontId="11" fillId="17" borderId="3" xfId="0" applyFont="1" applyFill="1" applyBorder="1" applyAlignment="1">
      <alignment horizontal="center" vertical="center" textRotation="45"/>
    </xf>
    <xf numFmtId="0" fontId="11" fillId="17" borderId="7" xfId="0" applyFont="1" applyFill="1" applyBorder="1" applyAlignment="1">
      <alignment horizontal="center" vertical="center" textRotation="45"/>
    </xf>
    <xf numFmtId="0" fontId="11" fillId="17" borderId="6" xfId="0" applyFont="1" applyFill="1" applyBorder="1" applyAlignment="1">
      <alignment horizontal="center" vertical="center" textRotation="45"/>
    </xf>
    <xf numFmtId="0" fontId="11" fillId="17" borderId="2" xfId="0" applyFont="1" applyFill="1" applyBorder="1" applyAlignment="1">
      <alignment horizontal="center" vertical="center" textRotation="45"/>
    </xf>
    <xf numFmtId="0" fontId="11" fillId="17" borderId="0" xfId="0" applyFont="1" applyFill="1" applyBorder="1" applyAlignment="1">
      <alignment horizontal="center" vertical="center" textRotation="45"/>
    </xf>
    <xf numFmtId="0" fontId="11" fillId="17" borderId="8" xfId="0" applyFont="1" applyFill="1" applyBorder="1" applyAlignment="1">
      <alignment horizontal="center" vertical="center" textRotation="45"/>
    </xf>
    <xf numFmtId="0" fontId="11" fillId="17" borderId="32" xfId="0" applyFont="1" applyFill="1" applyBorder="1" applyAlignment="1">
      <alignment horizontal="center" vertical="center" textRotation="45"/>
    </xf>
    <xf numFmtId="0" fontId="11" fillId="17" borderId="31" xfId="0" applyFont="1" applyFill="1" applyBorder="1" applyAlignment="1">
      <alignment horizontal="center" vertical="center" textRotation="45"/>
    </xf>
    <xf numFmtId="0" fontId="11" fillId="17" borderId="39" xfId="0" applyFont="1" applyFill="1" applyBorder="1" applyAlignment="1">
      <alignment horizontal="center" vertical="center" textRotation="45"/>
    </xf>
    <xf numFmtId="0" fontId="12" fillId="13" borderId="3" xfId="0" applyFont="1" applyFill="1" applyBorder="1" applyAlignment="1">
      <alignment horizontal="center" vertical="center" textRotation="45" wrapText="1"/>
    </xf>
    <xf numFmtId="0" fontId="12" fillId="13" borderId="7" xfId="0" applyFont="1" applyFill="1" applyBorder="1" applyAlignment="1">
      <alignment horizontal="center" vertical="center" textRotation="45" wrapText="1"/>
    </xf>
    <xf numFmtId="0" fontId="12" fillId="13" borderId="6" xfId="0" applyFont="1" applyFill="1" applyBorder="1" applyAlignment="1">
      <alignment horizontal="center" vertical="center" textRotation="45" wrapText="1"/>
    </xf>
    <xf numFmtId="0" fontId="12" fillId="13" borderId="2" xfId="0" applyFont="1" applyFill="1" applyBorder="1" applyAlignment="1">
      <alignment horizontal="center" vertical="center" textRotation="45" wrapText="1"/>
    </xf>
    <xf numFmtId="0" fontId="12" fillId="13" borderId="0" xfId="0" applyFont="1" applyFill="1" applyBorder="1" applyAlignment="1">
      <alignment horizontal="center" vertical="center" textRotation="45" wrapText="1"/>
    </xf>
    <xf numFmtId="0" fontId="12" fillId="13" borderId="8" xfId="0" applyFont="1" applyFill="1" applyBorder="1" applyAlignment="1">
      <alignment horizontal="center" vertical="center" textRotation="45" wrapText="1"/>
    </xf>
    <xf numFmtId="0" fontId="12" fillId="13" borderId="32" xfId="0" applyFont="1" applyFill="1" applyBorder="1" applyAlignment="1">
      <alignment horizontal="center" vertical="center" textRotation="45" wrapText="1"/>
    </xf>
    <xf numFmtId="0" fontId="12" fillId="13" borderId="31" xfId="0" applyFont="1" applyFill="1" applyBorder="1" applyAlignment="1">
      <alignment horizontal="center" vertical="center" textRotation="45" wrapText="1"/>
    </xf>
    <xf numFmtId="0" fontId="12" fillId="13" borderId="39" xfId="0" applyFont="1" applyFill="1" applyBorder="1" applyAlignment="1">
      <alignment horizontal="center" vertical="center" textRotation="45" wrapText="1"/>
    </xf>
    <xf numFmtId="0" fontId="11" fillId="10" borderId="22" xfId="0" applyFont="1" applyFill="1" applyBorder="1" applyAlignment="1">
      <alignment horizontal="center" vertical="center" textRotation="45"/>
    </xf>
    <xf numFmtId="0" fontId="11" fillId="10" borderId="17" xfId="0" applyFont="1" applyFill="1" applyBorder="1" applyAlignment="1">
      <alignment horizontal="center" vertical="center" textRotation="45"/>
    </xf>
    <xf numFmtId="0" fontId="11" fillId="10" borderId="23" xfId="0" applyFont="1" applyFill="1" applyBorder="1" applyAlignment="1">
      <alignment horizontal="center" vertical="center" textRotation="45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1" fillId="8" borderId="17" xfId="0" applyFont="1" applyFill="1" applyBorder="1" applyAlignment="1">
      <alignment horizontal="center" vertical="center" textRotation="45"/>
    </xf>
    <xf numFmtId="0" fontId="11" fillId="8" borderId="23" xfId="0" applyFont="1" applyFill="1" applyBorder="1" applyAlignment="1">
      <alignment horizontal="center" vertical="center" textRotation="45"/>
    </xf>
    <xf numFmtId="0" fontId="4" fillId="0" borderId="2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CC66"/>
      <color rgb="FF6DAADD"/>
      <color rgb="FFCC66FF"/>
      <color rgb="FF6699FF"/>
      <color rgb="FFFF7C80"/>
      <color rgb="FFFFFF99"/>
      <color rgb="FF99CC00"/>
      <color rgb="FFFFCC99"/>
      <color rgb="FFF4D6FC"/>
      <color rgb="FFF8A8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733425</xdr:colOff>
          <xdr:row>42</xdr:row>
          <xdr:rowOff>0</xdr:rowOff>
        </xdr:from>
        <xdr:to>
          <xdr:col>8</xdr:col>
          <xdr:colOff>66675</xdr:colOff>
          <xdr:row>44</xdr:row>
          <xdr:rowOff>57150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pageSetUpPr autoPageBreaks="0"/>
  </sheetPr>
  <dimension ref="A1:FV693"/>
  <sheetViews>
    <sheetView tabSelected="1" zoomScaleNormal="100" workbookViewId="0">
      <pane xSplit="3" ySplit="2" topLeftCell="D21" activePane="bottomRight" state="frozen"/>
      <selection pane="topRight" activeCell="D1" sqref="D1"/>
      <selection pane="bottomLeft" activeCell="A3" sqref="A3"/>
      <selection pane="bottomRight" activeCell="F32" sqref="F32"/>
    </sheetView>
  </sheetViews>
  <sheetFormatPr baseColWidth="10" defaultColWidth="20.7109375" defaultRowHeight="24.95" customHeight="1" x14ac:dyDescent="0.25"/>
  <cols>
    <col min="1" max="1" width="23.5703125" style="13" customWidth="1"/>
    <col min="2" max="3" width="20.7109375" style="13"/>
    <col min="4" max="4" width="24.7109375" style="13" customWidth="1"/>
    <col min="5" max="5" width="12.140625" style="13" customWidth="1"/>
    <col min="6" max="16384" width="20.7109375" style="13"/>
  </cols>
  <sheetData>
    <row r="1" spans="1:178" ht="14.1" customHeight="1" x14ac:dyDescent="0.25">
      <c r="A1" s="90" t="str">
        <f>UPPER(CONCATENATE("Fiche récapitulative du mois de ", TEXT(F2, "mmmm"), " ", YEAR(F2)))</f>
        <v>FICHE RÉCAPITULATIVE DU MOIS DE JANVIER 1900</v>
      </c>
      <c r="B1" s="91"/>
      <c r="C1" s="92"/>
      <c r="D1" s="17" t="s">
        <v>25</v>
      </c>
      <c r="E1" s="4" t="s">
        <v>6</v>
      </c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</row>
    <row r="2" spans="1:178" ht="14.1" customHeight="1" thickBot="1" x14ac:dyDescent="0.3">
      <c r="A2" s="93"/>
      <c r="B2" s="94"/>
      <c r="C2" s="95"/>
      <c r="D2" s="30">
        <v>42655</v>
      </c>
      <c r="E2" s="6" t="s">
        <v>7</v>
      </c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</row>
    <row r="3" spans="1:178" ht="14.1" customHeight="1" x14ac:dyDescent="0.25">
      <c r="A3" s="103" t="s">
        <v>26</v>
      </c>
      <c r="B3" s="99" t="s">
        <v>0</v>
      </c>
      <c r="C3" s="4" t="s">
        <v>15</v>
      </c>
      <c r="D3" s="18" t="s">
        <v>18</v>
      </c>
      <c r="E3" s="4" t="s">
        <v>29</v>
      </c>
      <c r="F3" s="14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</row>
    <row r="4" spans="1:178" ht="14.1" customHeight="1" x14ac:dyDescent="0.25">
      <c r="A4" s="104"/>
      <c r="B4" s="100"/>
      <c r="C4" s="5" t="s">
        <v>1</v>
      </c>
      <c r="D4" s="19" t="s">
        <v>19</v>
      </c>
      <c r="E4" s="5" t="s">
        <v>8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</row>
    <row r="5" spans="1:178" ht="14.1" customHeight="1" x14ac:dyDescent="0.25">
      <c r="A5" s="104"/>
      <c r="B5" s="100"/>
      <c r="C5" s="5" t="s">
        <v>2</v>
      </c>
      <c r="D5" s="20" t="s">
        <v>20</v>
      </c>
      <c r="E5" s="5" t="s">
        <v>30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</row>
    <row r="6" spans="1:178" ht="14.1" customHeight="1" x14ac:dyDescent="0.25">
      <c r="A6" s="104"/>
      <c r="B6" s="100"/>
      <c r="C6" s="101" t="s">
        <v>3</v>
      </c>
      <c r="D6" s="11" t="s">
        <v>21</v>
      </c>
      <c r="E6" s="5" t="s">
        <v>10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</row>
    <row r="7" spans="1:178" ht="14.1" customHeight="1" x14ac:dyDescent="0.25">
      <c r="A7" s="104"/>
      <c r="B7" s="100"/>
      <c r="C7" s="101"/>
      <c r="D7" s="11" t="s">
        <v>22</v>
      </c>
      <c r="E7" s="5" t="s">
        <v>11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</row>
    <row r="8" spans="1:178" ht="14.1" customHeight="1" x14ac:dyDescent="0.25">
      <c r="A8" s="104"/>
      <c r="B8" s="100"/>
      <c r="C8" s="101"/>
      <c r="D8" s="11" t="s">
        <v>23</v>
      </c>
      <c r="E8" s="5" t="s">
        <v>31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</row>
    <row r="9" spans="1:178" ht="14.1" customHeight="1" x14ac:dyDescent="0.25">
      <c r="A9" s="104"/>
      <c r="B9" s="100"/>
      <c r="C9" s="101"/>
      <c r="D9" s="11" t="s">
        <v>24</v>
      </c>
      <c r="E9" s="5" t="s">
        <v>32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</row>
    <row r="10" spans="1:178" ht="14.1" customHeight="1" x14ac:dyDescent="0.25">
      <c r="A10" s="104"/>
      <c r="B10" s="100" t="s">
        <v>4</v>
      </c>
      <c r="C10" s="5" t="s">
        <v>15</v>
      </c>
      <c r="D10" s="21" t="s">
        <v>18</v>
      </c>
      <c r="E10" s="5" t="s">
        <v>33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</row>
    <row r="11" spans="1:178" ht="14.1" customHeight="1" x14ac:dyDescent="0.25">
      <c r="A11" s="104"/>
      <c r="B11" s="100"/>
      <c r="C11" s="5" t="s">
        <v>1</v>
      </c>
      <c r="D11" s="19" t="s">
        <v>19</v>
      </c>
      <c r="E11" s="5" t="s">
        <v>34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</row>
    <row r="12" spans="1:178" ht="14.1" customHeight="1" x14ac:dyDescent="0.25">
      <c r="A12" s="104"/>
      <c r="B12" s="100"/>
      <c r="C12" s="5" t="s">
        <v>2</v>
      </c>
      <c r="D12" s="20" t="s">
        <v>20</v>
      </c>
      <c r="E12" s="5" t="s">
        <v>35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</row>
    <row r="13" spans="1:178" ht="14.1" customHeight="1" x14ac:dyDescent="0.25">
      <c r="A13" s="104"/>
      <c r="B13" s="100" t="s">
        <v>16</v>
      </c>
      <c r="C13" s="5" t="s">
        <v>15</v>
      </c>
      <c r="D13" s="21" t="s">
        <v>18</v>
      </c>
      <c r="E13" s="5" t="s">
        <v>36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</row>
    <row r="14" spans="1:178" ht="14.1" customHeight="1" x14ac:dyDescent="0.25">
      <c r="A14" s="104"/>
      <c r="B14" s="100"/>
      <c r="C14" s="5" t="s">
        <v>1</v>
      </c>
      <c r="D14" s="19" t="s">
        <v>19</v>
      </c>
      <c r="E14" s="5" t="s">
        <v>37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</row>
    <row r="15" spans="1:178" ht="14.1" customHeight="1" x14ac:dyDescent="0.25">
      <c r="A15" s="104"/>
      <c r="B15" s="100"/>
      <c r="C15" s="5" t="s">
        <v>2</v>
      </c>
      <c r="D15" s="20" t="s">
        <v>20</v>
      </c>
      <c r="E15" s="5" t="s">
        <v>38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</row>
    <row r="16" spans="1:178" ht="14.1" customHeight="1" x14ac:dyDescent="0.25">
      <c r="A16" s="104"/>
      <c r="B16" s="100"/>
      <c r="C16" s="5" t="s">
        <v>3</v>
      </c>
      <c r="D16" s="11" t="s">
        <v>21</v>
      </c>
      <c r="E16" s="5" t="s">
        <v>39</v>
      </c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</row>
    <row r="17" spans="1:178" ht="14.1" customHeight="1" x14ac:dyDescent="0.25">
      <c r="A17" s="104"/>
      <c r="B17" s="100" t="s">
        <v>17</v>
      </c>
      <c r="C17" s="5" t="s">
        <v>15</v>
      </c>
      <c r="D17" s="21" t="s">
        <v>18</v>
      </c>
      <c r="E17" s="5" t="s">
        <v>40</v>
      </c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</row>
    <row r="18" spans="1:178" ht="14.1" customHeight="1" x14ac:dyDescent="0.25">
      <c r="A18" s="104"/>
      <c r="B18" s="100"/>
      <c r="C18" s="5" t="s">
        <v>1</v>
      </c>
      <c r="D18" s="19" t="s">
        <v>19</v>
      </c>
      <c r="E18" s="5" t="s">
        <v>41</v>
      </c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</row>
    <row r="19" spans="1:178" ht="14.1" customHeight="1" thickBot="1" x14ac:dyDescent="0.3">
      <c r="A19" s="105"/>
      <c r="B19" s="102"/>
      <c r="C19" s="6" t="s">
        <v>2</v>
      </c>
      <c r="D19" s="22" t="s">
        <v>20</v>
      </c>
      <c r="E19" s="6" t="s">
        <v>401</v>
      </c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</row>
    <row r="20" spans="1:178" ht="14.1" customHeight="1" x14ac:dyDescent="0.25">
      <c r="A20" s="106" t="s">
        <v>27</v>
      </c>
      <c r="B20" s="99" t="s">
        <v>0</v>
      </c>
      <c r="C20" s="4" t="s">
        <v>15</v>
      </c>
      <c r="D20" s="18" t="s">
        <v>18</v>
      </c>
      <c r="E20" s="4" t="s">
        <v>42</v>
      </c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</row>
    <row r="21" spans="1:178" ht="14.1" customHeight="1" x14ac:dyDescent="0.25">
      <c r="A21" s="107"/>
      <c r="B21" s="100"/>
      <c r="C21" s="5" t="s">
        <v>1</v>
      </c>
      <c r="D21" s="19" t="s">
        <v>19</v>
      </c>
      <c r="E21" s="5" t="s">
        <v>43</v>
      </c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</row>
    <row r="22" spans="1:178" ht="14.1" customHeight="1" x14ac:dyDescent="0.25">
      <c r="A22" s="107"/>
      <c r="B22" s="100"/>
      <c r="C22" s="5" t="s">
        <v>2</v>
      </c>
      <c r="D22" s="20" t="s">
        <v>20</v>
      </c>
      <c r="E22" s="5" t="s">
        <v>44</v>
      </c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</row>
    <row r="23" spans="1:178" ht="14.1" customHeight="1" x14ac:dyDescent="0.25">
      <c r="A23" s="107"/>
      <c r="B23" s="100"/>
      <c r="C23" s="101" t="s">
        <v>3</v>
      </c>
      <c r="D23" s="11" t="s">
        <v>21</v>
      </c>
      <c r="E23" s="5" t="s">
        <v>45</v>
      </c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</row>
    <row r="24" spans="1:178" ht="14.1" customHeight="1" x14ac:dyDescent="0.25">
      <c r="A24" s="107"/>
      <c r="B24" s="100"/>
      <c r="C24" s="101"/>
      <c r="D24" s="11" t="s">
        <v>22</v>
      </c>
      <c r="E24" s="5" t="s">
        <v>46</v>
      </c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</row>
    <row r="25" spans="1:178" ht="14.1" customHeight="1" x14ac:dyDescent="0.25">
      <c r="A25" s="107"/>
      <c r="B25" s="100"/>
      <c r="C25" s="101"/>
      <c r="D25" s="11" t="s">
        <v>23</v>
      </c>
      <c r="E25" s="5" t="s">
        <v>47</v>
      </c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</row>
    <row r="26" spans="1:178" ht="14.1" customHeight="1" x14ac:dyDescent="0.25">
      <c r="A26" s="107"/>
      <c r="B26" s="100"/>
      <c r="C26" s="101"/>
      <c r="D26" s="11" t="s">
        <v>24</v>
      </c>
      <c r="E26" s="5" t="s">
        <v>48</v>
      </c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</row>
    <row r="27" spans="1:178" ht="14.1" customHeight="1" x14ac:dyDescent="0.25">
      <c r="A27" s="107"/>
      <c r="B27" s="100" t="s">
        <v>4</v>
      </c>
      <c r="C27" s="5" t="s">
        <v>15</v>
      </c>
      <c r="D27" s="21" t="s">
        <v>18</v>
      </c>
      <c r="E27" s="5" t="s">
        <v>49</v>
      </c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</row>
    <row r="28" spans="1:178" ht="14.1" customHeight="1" x14ac:dyDescent="0.25">
      <c r="A28" s="107"/>
      <c r="B28" s="100"/>
      <c r="C28" s="5" t="s">
        <v>1</v>
      </c>
      <c r="D28" s="19" t="s">
        <v>19</v>
      </c>
      <c r="E28" s="5" t="s">
        <v>50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</row>
    <row r="29" spans="1:178" ht="14.1" customHeight="1" x14ac:dyDescent="0.25">
      <c r="A29" s="107"/>
      <c r="B29" s="100"/>
      <c r="C29" s="5" t="s">
        <v>2</v>
      </c>
      <c r="D29" s="20" t="s">
        <v>20</v>
      </c>
      <c r="E29" s="5" t="s">
        <v>51</v>
      </c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</row>
    <row r="30" spans="1:178" ht="14.1" customHeight="1" x14ac:dyDescent="0.25">
      <c r="A30" s="107"/>
      <c r="B30" s="100" t="s">
        <v>16</v>
      </c>
      <c r="C30" s="5" t="s">
        <v>15</v>
      </c>
      <c r="D30" s="21" t="s">
        <v>18</v>
      </c>
      <c r="E30" s="5" t="s">
        <v>52</v>
      </c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</row>
    <row r="31" spans="1:178" ht="14.1" customHeight="1" x14ac:dyDescent="0.25">
      <c r="A31" s="107"/>
      <c r="B31" s="100"/>
      <c r="C31" s="5" t="s">
        <v>1</v>
      </c>
      <c r="D31" s="19" t="s">
        <v>19</v>
      </c>
      <c r="E31" s="5" t="s">
        <v>53</v>
      </c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</row>
    <row r="32" spans="1:178" ht="14.1" customHeight="1" x14ac:dyDescent="0.25">
      <c r="A32" s="107"/>
      <c r="B32" s="100"/>
      <c r="C32" s="5" t="s">
        <v>2</v>
      </c>
      <c r="D32" s="20" t="s">
        <v>20</v>
      </c>
      <c r="E32" s="5" t="s">
        <v>54</v>
      </c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</row>
    <row r="33" spans="1:178" ht="14.1" customHeight="1" x14ac:dyDescent="0.25">
      <c r="A33" s="107"/>
      <c r="B33" s="100"/>
      <c r="C33" s="5" t="s">
        <v>3</v>
      </c>
      <c r="D33" s="11" t="s">
        <v>21</v>
      </c>
      <c r="E33" s="5" t="s">
        <v>55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</row>
    <row r="34" spans="1:178" ht="14.1" customHeight="1" x14ac:dyDescent="0.25">
      <c r="A34" s="107"/>
      <c r="B34" s="100" t="s">
        <v>17</v>
      </c>
      <c r="C34" s="5" t="s">
        <v>15</v>
      </c>
      <c r="D34" s="21" t="s">
        <v>18</v>
      </c>
      <c r="E34" s="5" t="s">
        <v>56</v>
      </c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</row>
    <row r="35" spans="1:178" ht="14.1" customHeight="1" x14ac:dyDescent="0.25">
      <c r="A35" s="107"/>
      <c r="B35" s="100"/>
      <c r="C35" s="5" t="s">
        <v>1</v>
      </c>
      <c r="D35" s="19" t="s">
        <v>19</v>
      </c>
      <c r="E35" s="5" t="s">
        <v>57</v>
      </c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</row>
    <row r="36" spans="1:178" ht="14.1" customHeight="1" thickBot="1" x14ac:dyDescent="0.3">
      <c r="A36" s="108"/>
      <c r="B36" s="102"/>
      <c r="C36" s="6" t="s">
        <v>2</v>
      </c>
      <c r="D36" s="22" t="s">
        <v>20</v>
      </c>
      <c r="E36" s="6" t="s">
        <v>58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</row>
    <row r="37" spans="1:178" ht="14.1" customHeight="1" x14ac:dyDescent="0.25">
      <c r="A37" s="96" t="s">
        <v>28</v>
      </c>
      <c r="B37" s="99" t="s">
        <v>0</v>
      </c>
      <c r="C37" s="4" t="s">
        <v>15</v>
      </c>
      <c r="D37" s="18" t="s">
        <v>18</v>
      </c>
      <c r="E37" s="4" t="s">
        <v>59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</row>
    <row r="38" spans="1:178" ht="14.1" customHeight="1" x14ac:dyDescent="0.25">
      <c r="A38" s="97"/>
      <c r="B38" s="100"/>
      <c r="C38" s="5" t="s">
        <v>1</v>
      </c>
      <c r="D38" s="19" t="s">
        <v>19</v>
      </c>
      <c r="E38" s="5" t="s">
        <v>60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</row>
    <row r="39" spans="1:178" ht="14.1" customHeight="1" x14ac:dyDescent="0.25">
      <c r="A39" s="97"/>
      <c r="B39" s="100"/>
      <c r="C39" s="5" t="s">
        <v>2</v>
      </c>
      <c r="D39" s="20" t="s">
        <v>20</v>
      </c>
      <c r="E39" s="5" t="s">
        <v>61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</row>
    <row r="40" spans="1:178" ht="14.1" customHeight="1" x14ac:dyDescent="0.25">
      <c r="A40" s="97"/>
      <c r="B40" s="100"/>
      <c r="C40" s="101" t="s">
        <v>3</v>
      </c>
      <c r="D40" s="11" t="s">
        <v>21</v>
      </c>
      <c r="E40" s="5" t="s">
        <v>62</v>
      </c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</row>
    <row r="41" spans="1:178" ht="14.1" customHeight="1" x14ac:dyDescent="0.25">
      <c r="A41" s="97"/>
      <c r="B41" s="100"/>
      <c r="C41" s="101"/>
      <c r="D41" s="11" t="s">
        <v>22</v>
      </c>
      <c r="E41" s="5" t="s">
        <v>63</v>
      </c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</row>
    <row r="42" spans="1:178" ht="14.1" customHeight="1" x14ac:dyDescent="0.25">
      <c r="A42" s="97"/>
      <c r="B42" s="100"/>
      <c r="C42" s="101"/>
      <c r="D42" s="11" t="s">
        <v>23</v>
      </c>
      <c r="E42" s="5" t="s">
        <v>64</v>
      </c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</row>
    <row r="43" spans="1:178" ht="14.1" customHeight="1" x14ac:dyDescent="0.25">
      <c r="A43" s="97"/>
      <c r="B43" s="100"/>
      <c r="C43" s="101"/>
      <c r="D43" s="11" t="s">
        <v>24</v>
      </c>
      <c r="E43" s="5" t="s">
        <v>65</v>
      </c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</row>
    <row r="44" spans="1:178" ht="14.1" customHeight="1" x14ac:dyDescent="0.25">
      <c r="A44" s="97"/>
      <c r="B44" s="100" t="s">
        <v>4</v>
      </c>
      <c r="C44" s="5" t="s">
        <v>15</v>
      </c>
      <c r="D44" s="21" t="s">
        <v>18</v>
      </c>
      <c r="E44" s="5" t="s">
        <v>66</v>
      </c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</row>
    <row r="45" spans="1:178" ht="14.1" customHeight="1" x14ac:dyDescent="0.25">
      <c r="A45" s="97"/>
      <c r="B45" s="100"/>
      <c r="C45" s="5" t="s">
        <v>1</v>
      </c>
      <c r="D45" s="19" t="s">
        <v>19</v>
      </c>
      <c r="E45" s="5" t="s">
        <v>67</v>
      </c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</row>
    <row r="46" spans="1:178" ht="14.1" customHeight="1" x14ac:dyDescent="0.25">
      <c r="A46" s="97"/>
      <c r="B46" s="100"/>
      <c r="C46" s="5" t="s">
        <v>2</v>
      </c>
      <c r="D46" s="20" t="s">
        <v>20</v>
      </c>
      <c r="E46" s="5" t="s">
        <v>68</v>
      </c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</row>
    <row r="47" spans="1:178" ht="14.1" customHeight="1" x14ac:dyDescent="0.25">
      <c r="A47" s="97"/>
      <c r="B47" s="100" t="s">
        <v>16</v>
      </c>
      <c r="C47" s="5" t="s">
        <v>15</v>
      </c>
      <c r="D47" s="21" t="s">
        <v>18</v>
      </c>
      <c r="E47" s="5" t="s">
        <v>69</v>
      </c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</row>
    <row r="48" spans="1:178" ht="14.1" customHeight="1" x14ac:dyDescent="0.25">
      <c r="A48" s="97"/>
      <c r="B48" s="100"/>
      <c r="C48" s="5" t="s">
        <v>1</v>
      </c>
      <c r="D48" s="19" t="s">
        <v>19</v>
      </c>
      <c r="E48" s="5" t="s">
        <v>70</v>
      </c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</row>
    <row r="49" spans="1:178" ht="14.1" customHeight="1" x14ac:dyDescent="0.25">
      <c r="A49" s="97"/>
      <c r="B49" s="100"/>
      <c r="C49" s="5" t="s">
        <v>2</v>
      </c>
      <c r="D49" s="20" t="s">
        <v>20</v>
      </c>
      <c r="E49" s="5" t="s">
        <v>71</v>
      </c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</row>
    <row r="50" spans="1:178" ht="14.1" customHeight="1" x14ac:dyDescent="0.25">
      <c r="A50" s="97"/>
      <c r="B50" s="100"/>
      <c r="C50" s="5" t="s">
        <v>3</v>
      </c>
      <c r="D50" s="11" t="s">
        <v>21</v>
      </c>
      <c r="E50" s="5" t="s">
        <v>72</v>
      </c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</row>
    <row r="51" spans="1:178" ht="14.1" customHeight="1" x14ac:dyDescent="0.25">
      <c r="A51" s="97"/>
      <c r="B51" s="100" t="s">
        <v>17</v>
      </c>
      <c r="C51" s="5" t="s">
        <v>15</v>
      </c>
      <c r="D51" s="21" t="s">
        <v>18</v>
      </c>
      <c r="E51" s="5" t="s">
        <v>73</v>
      </c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</row>
    <row r="52" spans="1:178" ht="14.1" customHeight="1" x14ac:dyDescent="0.25">
      <c r="A52" s="97"/>
      <c r="B52" s="100"/>
      <c r="C52" s="5" t="s">
        <v>1</v>
      </c>
      <c r="D52" s="19" t="s">
        <v>19</v>
      </c>
      <c r="E52" s="5" t="s">
        <v>74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</row>
    <row r="53" spans="1:178" ht="14.1" customHeight="1" thickBot="1" x14ac:dyDescent="0.3">
      <c r="A53" s="98"/>
      <c r="B53" s="102"/>
      <c r="C53" s="6" t="s">
        <v>2</v>
      </c>
      <c r="D53" s="22" t="s">
        <v>20</v>
      </c>
      <c r="E53" s="6" t="s">
        <v>75</v>
      </c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</row>
    <row r="54" spans="1:178" ht="14.1" customHeight="1" x14ac:dyDescent="0.25">
      <c r="A54" s="112" t="s">
        <v>76</v>
      </c>
      <c r="B54" s="115" t="s">
        <v>78</v>
      </c>
      <c r="C54" s="4" t="s">
        <v>15</v>
      </c>
      <c r="D54" s="18" t="s">
        <v>18</v>
      </c>
      <c r="E54" s="4" t="s">
        <v>80</v>
      </c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</row>
    <row r="55" spans="1:178" ht="14.1" customHeight="1" x14ac:dyDescent="0.25">
      <c r="A55" s="113"/>
      <c r="B55" s="116"/>
      <c r="C55" s="5" t="s">
        <v>2</v>
      </c>
      <c r="D55" s="23" t="s">
        <v>20</v>
      </c>
      <c r="E55" s="5" t="s">
        <v>81</v>
      </c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</row>
    <row r="56" spans="1:178" ht="14.1" customHeight="1" x14ac:dyDescent="0.25">
      <c r="A56" s="113"/>
      <c r="B56" s="109"/>
      <c r="C56" s="5" t="s">
        <v>77</v>
      </c>
      <c r="D56" s="11" t="s">
        <v>79</v>
      </c>
      <c r="E56" s="5" t="s">
        <v>82</v>
      </c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</row>
    <row r="57" spans="1:178" ht="14.1" customHeight="1" x14ac:dyDescent="0.25">
      <c r="A57" s="113"/>
      <c r="B57" s="109" t="s">
        <v>0</v>
      </c>
      <c r="C57" s="7" t="s">
        <v>15</v>
      </c>
      <c r="D57" s="24" t="s">
        <v>18</v>
      </c>
      <c r="E57" s="7" t="s">
        <v>438</v>
      </c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</row>
    <row r="58" spans="1:178" ht="14.1" customHeight="1" x14ac:dyDescent="0.25">
      <c r="A58" s="113"/>
      <c r="B58" s="100"/>
      <c r="C58" s="5" t="s">
        <v>1</v>
      </c>
      <c r="D58" s="19" t="s">
        <v>19</v>
      </c>
      <c r="E58" s="5" t="s">
        <v>439</v>
      </c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</row>
    <row r="59" spans="1:178" ht="14.1" customHeight="1" x14ac:dyDescent="0.25">
      <c r="A59" s="113"/>
      <c r="B59" s="100"/>
      <c r="C59" s="5" t="s">
        <v>2</v>
      </c>
      <c r="D59" s="20" t="s">
        <v>20</v>
      </c>
      <c r="E59" s="38" t="s">
        <v>440</v>
      </c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</row>
    <row r="60" spans="1:178" ht="14.1" customHeight="1" x14ac:dyDescent="0.25">
      <c r="A60" s="113"/>
      <c r="B60" s="100"/>
      <c r="C60" s="101" t="s">
        <v>3</v>
      </c>
      <c r="D60" s="11" t="s">
        <v>21</v>
      </c>
      <c r="E60" s="38" t="s">
        <v>441</v>
      </c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</row>
    <row r="61" spans="1:178" ht="14.1" customHeight="1" x14ac:dyDescent="0.25">
      <c r="A61" s="113"/>
      <c r="B61" s="100"/>
      <c r="C61" s="101"/>
      <c r="D61" s="11" t="s">
        <v>22</v>
      </c>
      <c r="E61" s="38" t="s">
        <v>442</v>
      </c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</row>
    <row r="62" spans="1:178" ht="14.1" customHeight="1" x14ac:dyDescent="0.25">
      <c r="A62" s="113"/>
      <c r="B62" s="100"/>
      <c r="C62" s="101"/>
      <c r="D62" s="11" t="s">
        <v>23</v>
      </c>
      <c r="E62" s="38" t="s">
        <v>443</v>
      </c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</row>
    <row r="63" spans="1:178" ht="14.1" customHeight="1" thickBot="1" x14ac:dyDescent="0.3">
      <c r="A63" s="114"/>
      <c r="B63" s="100"/>
      <c r="C63" s="101"/>
      <c r="D63" s="12" t="s">
        <v>24</v>
      </c>
      <c r="E63" s="38" t="s">
        <v>444</v>
      </c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</row>
    <row r="64" spans="1:178" ht="14.1" customHeight="1" x14ac:dyDescent="0.25">
      <c r="A64" s="110" t="s">
        <v>97</v>
      </c>
      <c r="B64" s="99" t="s">
        <v>0</v>
      </c>
      <c r="C64" s="4" t="s">
        <v>15</v>
      </c>
      <c r="D64" s="18" t="s">
        <v>18</v>
      </c>
      <c r="E64" s="4" t="s">
        <v>191</v>
      </c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</row>
    <row r="65" spans="1:178" ht="14.1" customHeight="1" x14ac:dyDescent="0.25">
      <c r="A65" s="111"/>
      <c r="B65" s="100"/>
      <c r="C65" s="5" t="s">
        <v>1</v>
      </c>
      <c r="D65" s="19" t="s">
        <v>19</v>
      </c>
      <c r="E65" s="5" t="s">
        <v>192</v>
      </c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</row>
    <row r="66" spans="1:178" ht="14.1" customHeight="1" x14ac:dyDescent="0.25">
      <c r="A66" s="111"/>
      <c r="B66" s="100"/>
      <c r="C66" s="5" t="s">
        <v>2</v>
      </c>
      <c r="D66" s="20" t="s">
        <v>20</v>
      </c>
      <c r="E66" s="5" t="s">
        <v>193</v>
      </c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</row>
    <row r="67" spans="1:178" ht="14.1" customHeight="1" x14ac:dyDescent="0.25">
      <c r="A67" s="111"/>
      <c r="B67" s="100"/>
      <c r="C67" s="101" t="s">
        <v>3</v>
      </c>
      <c r="D67" s="11" t="s">
        <v>21</v>
      </c>
      <c r="E67" s="5" t="s">
        <v>194</v>
      </c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</row>
    <row r="68" spans="1:178" ht="14.1" customHeight="1" x14ac:dyDescent="0.25">
      <c r="A68" s="111"/>
      <c r="B68" s="100"/>
      <c r="C68" s="101"/>
      <c r="D68" s="11" t="s">
        <v>22</v>
      </c>
      <c r="E68" s="5" t="s">
        <v>195</v>
      </c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</row>
    <row r="69" spans="1:178" ht="14.1" customHeight="1" x14ac:dyDescent="0.25">
      <c r="A69" s="111"/>
      <c r="B69" s="100"/>
      <c r="C69" s="101"/>
      <c r="D69" s="11" t="s">
        <v>23</v>
      </c>
      <c r="E69" s="5" t="s">
        <v>196</v>
      </c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</row>
    <row r="70" spans="1:178" ht="14.1" customHeight="1" thickBot="1" x14ac:dyDescent="0.3">
      <c r="A70" s="111"/>
      <c r="B70" s="117"/>
      <c r="C70" s="118"/>
      <c r="D70" s="12" t="s">
        <v>24</v>
      </c>
      <c r="E70" s="6" t="s">
        <v>197</v>
      </c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</row>
    <row r="71" spans="1:178" ht="14.1" customHeight="1" x14ac:dyDescent="0.25">
      <c r="A71" s="157" t="s">
        <v>169</v>
      </c>
      <c r="B71" s="99" t="s">
        <v>78</v>
      </c>
      <c r="C71" s="4" t="s">
        <v>15</v>
      </c>
      <c r="D71" s="18" t="s">
        <v>18</v>
      </c>
      <c r="E71" s="4" t="s">
        <v>198</v>
      </c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</row>
    <row r="72" spans="1:178" ht="14.1" customHeight="1" x14ac:dyDescent="0.25">
      <c r="A72" s="158"/>
      <c r="B72" s="100"/>
      <c r="C72" s="5" t="s">
        <v>2</v>
      </c>
      <c r="D72" s="20" t="s">
        <v>20</v>
      </c>
      <c r="E72" s="5" t="s">
        <v>199</v>
      </c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</row>
    <row r="73" spans="1:178" ht="14.1" customHeight="1" x14ac:dyDescent="0.25">
      <c r="A73" s="158"/>
      <c r="B73" s="100"/>
      <c r="C73" s="5" t="s">
        <v>77</v>
      </c>
      <c r="D73" s="11" t="s">
        <v>79</v>
      </c>
      <c r="E73" s="5" t="s">
        <v>200</v>
      </c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</row>
    <row r="74" spans="1:178" ht="14.1" customHeight="1" x14ac:dyDescent="0.25">
      <c r="A74" s="158"/>
      <c r="B74" s="160" t="s">
        <v>162</v>
      </c>
      <c r="C74" s="101" t="s">
        <v>117</v>
      </c>
      <c r="D74" s="11" t="s">
        <v>163</v>
      </c>
      <c r="E74" s="5" t="s">
        <v>201</v>
      </c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</row>
    <row r="75" spans="1:178" ht="14.1" customHeight="1" x14ac:dyDescent="0.25">
      <c r="A75" s="158"/>
      <c r="B75" s="161"/>
      <c r="C75" s="101"/>
      <c r="D75" s="11" t="s">
        <v>164</v>
      </c>
      <c r="E75" s="5" t="s">
        <v>202</v>
      </c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</row>
    <row r="76" spans="1:178" ht="14.1" customHeight="1" x14ac:dyDescent="0.25">
      <c r="A76" s="158"/>
      <c r="B76" s="161"/>
      <c r="C76" s="101"/>
      <c r="D76" s="11" t="s">
        <v>165</v>
      </c>
      <c r="E76" s="5" t="s">
        <v>203</v>
      </c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</row>
    <row r="77" spans="1:178" ht="14.1" customHeight="1" x14ac:dyDescent="0.25">
      <c r="A77" s="158"/>
      <c r="B77" s="161"/>
      <c r="C77" s="101"/>
      <c r="D77" s="11" t="s">
        <v>166</v>
      </c>
      <c r="E77" s="5" t="s">
        <v>204</v>
      </c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</row>
    <row r="78" spans="1:178" ht="14.1" customHeight="1" x14ac:dyDescent="0.25">
      <c r="A78" s="158"/>
      <c r="B78" s="161"/>
      <c r="C78" s="101"/>
      <c r="D78" s="11" t="s">
        <v>167</v>
      </c>
      <c r="E78" s="8" t="s">
        <v>205</v>
      </c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</row>
    <row r="79" spans="1:178" ht="14.1" customHeight="1" thickBot="1" x14ac:dyDescent="0.3">
      <c r="A79" s="159"/>
      <c r="B79" s="162"/>
      <c r="C79" s="163"/>
      <c r="D79" s="26" t="s">
        <v>168</v>
      </c>
      <c r="E79" s="6" t="s">
        <v>206</v>
      </c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</row>
    <row r="80" spans="1:178" ht="18" customHeight="1" x14ac:dyDescent="0.25">
      <c r="A80" s="164" t="s">
        <v>83</v>
      </c>
      <c r="B80" s="116" t="s">
        <v>84</v>
      </c>
      <c r="C80" s="7" t="s">
        <v>85</v>
      </c>
      <c r="D80" s="29" t="s">
        <v>109</v>
      </c>
      <c r="E80" s="4" t="s">
        <v>207</v>
      </c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</row>
    <row r="81" spans="1:178" ht="18" customHeight="1" x14ac:dyDescent="0.25">
      <c r="A81" s="164"/>
      <c r="B81" s="116"/>
      <c r="C81" s="5" t="s">
        <v>86</v>
      </c>
      <c r="D81" s="27" t="s">
        <v>110</v>
      </c>
      <c r="E81" s="5" t="s">
        <v>208</v>
      </c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</row>
    <row r="82" spans="1:178" ht="24.95" customHeight="1" x14ac:dyDescent="0.25">
      <c r="A82" s="164"/>
      <c r="B82" s="100" t="s">
        <v>111</v>
      </c>
      <c r="C82" s="28" t="s">
        <v>87</v>
      </c>
      <c r="D82" s="19" t="s">
        <v>112</v>
      </c>
      <c r="E82" s="5" t="s">
        <v>209</v>
      </c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</row>
    <row r="83" spans="1:178" ht="24.95" customHeight="1" x14ac:dyDescent="0.25">
      <c r="A83" s="164"/>
      <c r="B83" s="100"/>
      <c r="C83" s="28" t="s">
        <v>88</v>
      </c>
      <c r="D83" s="19" t="s">
        <v>113</v>
      </c>
      <c r="E83" s="5" t="s">
        <v>210</v>
      </c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</row>
    <row r="84" spans="1:178" ht="14.1" customHeight="1" x14ac:dyDescent="0.25">
      <c r="A84" s="164"/>
      <c r="B84" s="117" t="s">
        <v>89</v>
      </c>
      <c r="C84" s="5" t="s">
        <v>15</v>
      </c>
      <c r="D84" s="24" t="s">
        <v>18</v>
      </c>
      <c r="E84" s="5" t="s">
        <v>211</v>
      </c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</row>
    <row r="85" spans="1:178" ht="14.1" customHeight="1" x14ac:dyDescent="0.25">
      <c r="A85" s="164"/>
      <c r="B85" s="109"/>
      <c r="C85" s="5" t="s">
        <v>2</v>
      </c>
      <c r="D85" s="20" t="s">
        <v>20</v>
      </c>
      <c r="E85" s="5" t="s">
        <v>212</v>
      </c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</row>
    <row r="86" spans="1:178" ht="14.1" customHeight="1" x14ac:dyDescent="0.25">
      <c r="A86" s="164"/>
      <c r="B86" s="117" t="s">
        <v>90</v>
      </c>
      <c r="C86" s="5" t="s">
        <v>15</v>
      </c>
      <c r="D86" s="21" t="s">
        <v>18</v>
      </c>
      <c r="E86" s="5" t="s">
        <v>213</v>
      </c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</row>
    <row r="87" spans="1:178" ht="14.1" customHeight="1" x14ac:dyDescent="0.25">
      <c r="A87" s="164"/>
      <c r="B87" s="116"/>
      <c r="C87" s="5" t="s">
        <v>1</v>
      </c>
      <c r="D87" s="19" t="s">
        <v>19</v>
      </c>
      <c r="E87" s="5" t="s">
        <v>214</v>
      </c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</row>
    <row r="88" spans="1:178" ht="14.1" customHeight="1" x14ac:dyDescent="0.25">
      <c r="A88" s="164"/>
      <c r="B88" s="116"/>
      <c r="C88" s="5" t="s">
        <v>2</v>
      </c>
      <c r="D88" s="20" t="s">
        <v>20</v>
      </c>
      <c r="E88" s="5" t="s">
        <v>215</v>
      </c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</row>
    <row r="89" spans="1:178" ht="14.1" customHeight="1" x14ac:dyDescent="0.25">
      <c r="A89" s="164"/>
      <c r="B89" s="116"/>
      <c r="C89" s="118" t="s">
        <v>3</v>
      </c>
      <c r="D89" s="11" t="s">
        <v>21</v>
      </c>
      <c r="E89" s="5" t="s">
        <v>216</v>
      </c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</row>
    <row r="90" spans="1:178" ht="14.1" customHeight="1" x14ac:dyDescent="0.25">
      <c r="A90" s="164"/>
      <c r="B90" s="116"/>
      <c r="C90" s="119"/>
      <c r="D90" s="11" t="s">
        <v>22</v>
      </c>
      <c r="E90" s="5" t="s">
        <v>217</v>
      </c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</row>
    <row r="91" spans="1:178" ht="14.1" customHeight="1" x14ac:dyDescent="0.25">
      <c r="A91" s="164"/>
      <c r="B91" s="116"/>
      <c r="C91" s="119"/>
      <c r="D91" s="11" t="s">
        <v>23</v>
      </c>
      <c r="E91" s="5" t="s">
        <v>218</v>
      </c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</row>
    <row r="92" spans="1:178" ht="14.1" customHeight="1" x14ac:dyDescent="0.25">
      <c r="A92" s="164"/>
      <c r="B92" s="109"/>
      <c r="C92" s="120"/>
      <c r="D92" s="11" t="s">
        <v>24</v>
      </c>
      <c r="E92" s="5" t="s">
        <v>219</v>
      </c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</row>
    <row r="93" spans="1:178" ht="14.1" customHeight="1" x14ac:dyDescent="0.25">
      <c r="A93" s="164"/>
      <c r="B93" s="117" t="s">
        <v>91</v>
      </c>
      <c r="C93" s="5" t="s">
        <v>15</v>
      </c>
      <c r="D93" s="24" t="s">
        <v>18</v>
      </c>
      <c r="E93" s="5" t="s">
        <v>220</v>
      </c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</row>
    <row r="94" spans="1:178" ht="14.1" customHeight="1" x14ac:dyDescent="0.25">
      <c r="A94" s="164"/>
      <c r="B94" s="116"/>
      <c r="C94" s="5" t="s">
        <v>1</v>
      </c>
      <c r="D94" s="19" t="s">
        <v>19</v>
      </c>
      <c r="E94" s="5" t="s">
        <v>222</v>
      </c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</row>
    <row r="95" spans="1:178" ht="14.1" customHeight="1" x14ac:dyDescent="0.25">
      <c r="A95" s="164"/>
      <c r="B95" s="109"/>
      <c r="C95" s="5" t="s">
        <v>2</v>
      </c>
      <c r="D95" s="20" t="s">
        <v>20</v>
      </c>
      <c r="E95" s="5" t="s">
        <v>223</v>
      </c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</row>
    <row r="96" spans="1:178" ht="14.1" customHeight="1" x14ac:dyDescent="0.25">
      <c r="A96" s="164"/>
      <c r="B96" s="117" t="s">
        <v>16</v>
      </c>
      <c r="C96" s="5" t="s">
        <v>15</v>
      </c>
      <c r="D96" s="24" t="s">
        <v>18</v>
      </c>
      <c r="E96" s="5" t="s">
        <v>221</v>
      </c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</row>
    <row r="97" spans="1:178" ht="14.1" customHeight="1" x14ac:dyDescent="0.25">
      <c r="A97" s="164"/>
      <c r="B97" s="116"/>
      <c r="C97" s="5" t="s">
        <v>1</v>
      </c>
      <c r="D97" s="19" t="s">
        <v>19</v>
      </c>
      <c r="E97" s="5" t="s">
        <v>224</v>
      </c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</row>
    <row r="98" spans="1:178" ht="14.1" customHeight="1" x14ac:dyDescent="0.25">
      <c r="A98" s="164"/>
      <c r="B98" s="116"/>
      <c r="C98" s="5" t="s">
        <v>2</v>
      </c>
      <c r="D98" s="20" t="s">
        <v>20</v>
      </c>
      <c r="E98" s="5" t="s">
        <v>225</v>
      </c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</row>
    <row r="99" spans="1:178" ht="14.1" customHeight="1" x14ac:dyDescent="0.25">
      <c r="A99" s="164"/>
      <c r="B99" s="109"/>
      <c r="C99" s="5" t="s">
        <v>3</v>
      </c>
      <c r="D99" s="11" t="s">
        <v>21</v>
      </c>
      <c r="E99" s="5" t="s">
        <v>226</v>
      </c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</row>
    <row r="100" spans="1:178" ht="14.1" customHeight="1" x14ac:dyDescent="0.25">
      <c r="A100" s="164"/>
      <c r="B100" s="117" t="s">
        <v>92</v>
      </c>
      <c r="C100" s="5" t="s">
        <v>15</v>
      </c>
      <c r="D100" s="24" t="s">
        <v>18</v>
      </c>
      <c r="E100" s="5" t="s">
        <v>227</v>
      </c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I100" s="9"/>
      <c r="FJ100" s="9"/>
      <c r="FK100" s="9"/>
      <c r="FL100" s="9"/>
      <c r="FM100" s="9"/>
      <c r="FN100" s="9"/>
      <c r="FO100" s="9"/>
      <c r="FP100" s="9"/>
      <c r="FQ100" s="9"/>
      <c r="FR100" s="9"/>
      <c r="FS100" s="9"/>
      <c r="FT100" s="9"/>
      <c r="FU100" s="9"/>
      <c r="FV100" s="9"/>
    </row>
    <row r="101" spans="1:178" ht="14.1" customHeight="1" x14ac:dyDescent="0.25">
      <c r="A101" s="164"/>
      <c r="B101" s="116"/>
      <c r="C101" s="5" t="s">
        <v>2</v>
      </c>
      <c r="D101" s="20" t="s">
        <v>20</v>
      </c>
      <c r="E101" s="5" t="s">
        <v>228</v>
      </c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  <c r="FO101" s="9"/>
      <c r="FP101" s="9"/>
      <c r="FQ101" s="9"/>
      <c r="FR101" s="9"/>
      <c r="FS101" s="9"/>
      <c r="FT101" s="9"/>
      <c r="FU101" s="9"/>
      <c r="FV101" s="9"/>
    </row>
    <row r="102" spans="1:178" ht="14.1" customHeight="1" x14ac:dyDescent="0.25">
      <c r="A102" s="164"/>
      <c r="B102" s="109"/>
      <c r="C102" s="5" t="s">
        <v>3</v>
      </c>
      <c r="D102" s="11" t="s">
        <v>21</v>
      </c>
      <c r="E102" s="5" t="s">
        <v>229</v>
      </c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  <c r="FO102" s="9"/>
      <c r="FP102" s="9"/>
      <c r="FQ102" s="9"/>
      <c r="FR102" s="9"/>
      <c r="FS102" s="9"/>
      <c r="FT102" s="9"/>
      <c r="FU102" s="9"/>
      <c r="FV102" s="9"/>
    </row>
    <row r="103" spans="1:178" ht="14.1" customHeight="1" x14ac:dyDescent="0.25">
      <c r="A103" s="164"/>
      <c r="B103" s="117" t="s">
        <v>93</v>
      </c>
      <c r="C103" s="5" t="s">
        <v>15</v>
      </c>
      <c r="D103" s="24" t="s">
        <v>18</v>
      </c>
      <c r="E103" s="5" t="s">
        <v>230</v>
      </c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  <c r="FI103" s="9"/>
      <c r="FJ103" s="9"/>
      <c r="FK103" s="9"/>
      <c r="FL103" s="9"/>
      <c r="FM103" s="9"/>
      <c r="FN103" s="9"/>
      <c r="FO103" s="9"/>
      <c r="FP103" s="9"/>
      <c r="FQ103" s="9"/>
      <c r="FR103" s="9"/>
      <c r="FS103" s="9"/>
      <c r="FT103" s="9"/>
      <c r="FU103" s="9"/>
      <c r="FV103" s="9"/>
    </row>
    <row r="104" spans="1:178" ht="14.1" customHeight="1" x14ac:dyDescent="0.25">
      <c r="A104" s="164"/>
      <c r="B104" s="116"/>
      <c r="C104" s="5" t="s">
        <v>2</v>
      </c>
      <c r="D104" s="20" t="s">
        <v>20</v>
      </c>
      <c r="E104" s="5" t="s">
        <v>231</v>
      </c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  <c r="EP104" s="9"/>
      <c r="EQ104" s="9"/>
      <c r="ER104" s="9"/>
      <c r="ES104" s="9"/>
      <c r="ET104" s="9"/>
      <c r="EU104" s="9"/>
      <c r="EV104" s="9"/>
      <c r="EW104" s="9"/>
      <c r="EX104" s="9"/>
      <c r="EY104" s="9"/>
      <c r="EZ104" s="9"/>
      <c r="FA104" s="9"/>
      <c r="FB104" s="9"/>
      <c r="FC104" s="9"/>
      <c r="FD104" s="9"/>
      <c r="FE104" s="9"/>
      <c r="FF104" s="9"/>
      <c r="FG104" s="9"/>
      <c r="FH104" s="9"/>
      <c r="FI104" s="9"/>
      <c r="FJ104" s="9"/>
      <c r="FK104" s="9"/>
      <c r="FL104" s="9"/>
      <c r="FM104" s="9"/>
      <c r="FN104" s="9"/>
      <c r="FO104" s="9"/>
      <c r="FP104" s="9"/>
      <c r="FQ104" s="9"/>
      <c r="FR104" s="9"/>
      <c r="FS104" s="9"/>
      <c r="FT104" s="9"/>
      <c r="FU104" s="9"/>
      <c r="FV104" s="9"/>
    </row>
    <row r="105" spans="1:178" ht="14.1" customHeight="1" x14ac:dyDescent="0.25">
      <c r="A105" s="164"/>
      <c r="B105" s="109"/>
      <c r="C105" s="5" t="s">
        <v>3</v>
      </c>
      <c r="D105" s="11" t="s">
        <v>21</v>
      </c>
      <c r="E105" s="5" t="s">
        <v>232</v>
      </c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  <c r="EP105" s="9"/>
      <c r="EQ105" s="9"/>
      <c r="ER105" s="9"/>
      <c r="ES105" s="9"/>
      <c r="ET105" s="9"/>
      <c r="EU105" s="9"/>
      <c r="EV105" s="9"/>
      <c r="EW105" s="9"/>
      <c r="EX105" s="9"/>
      <c r="EY105" s="9"/>
      <c r="EZ105" s="9"/>
      <c r="FA105" s="9"/>
      <c r="FB105" s="9"/>
      <c r="FC105" s="9"/>
      <c r="FD105" s="9"/>
      <c r="FE105" s="9"/>
      <c r="FF105" s="9"/>
      <c r="FG105" s="9"/>
      <c r="FH105" s="9"/>
      <c r="FI105" s="9"/>
      <c r="FJ105" s="9"/>
      <c r="FK105" s="9"/>
      <c r="FL105" s="9"/>
      <c r="FM105" s="9"/>
      <c r="FN105" s="9"/>
      <c r="FO105" s="9"/>
      <c r="FP105" s="9"/>
      <c r="FQ105" s="9"/>
      <c r="FR105" s="9"/>
      <c r="FS105" s="9"/>
      <c r="FT105" s="9"/>
      <c r="FU105" s="9"/>
      <c r="FV105" s="9"/>
    </row>
    <row r="106" spans="1:178" ht="14.1" customHeight="1" x14ac:dyDescent="0.25">
      <c r="A106" s="164"/>
      <c r="B106" s="117" t="s">
        <v>94</v>
      </c>
      <c r="C106" s="5" t="s">
        <v>15</v>
      </c>
      <c r="D106" s="24" t="s">
        <v>18</v>
      </c>
      <c r="E106" s="5" t="s">
        <v>233</v>
      </c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  <c r="EU106" s="9"/>
      <c r="EV106" s="9"/>
      <c r="EW106" s="9"/>
      <c r="EX106" s="9"/>
      <c r="EY106" s="9"/>
      <c r="EZ106" s="9"/>
      <c r="FA106" s="9"/>
      <c r="FB106" s="9"/>
      <c r="FC106" s="9"/>
      <c r="FD106" s="9"/>
      <c r="FE106" s="9"/>
      <c r="FF106" s="9"/>
      <c r="FG106" s="9"/>
      <c r="FH106" s="9"/>
      <c r="FI106" s="9"/>
      <c r="FJ106" s="9"/>
      <c r="FK106" s="9"/>
      <c r="FL106" s="9"/>
      <c r="FM106" s="9"/>
      <c r="FN106" s="9"/>
      <c r="FO106" s="9"/>
      <c r="FP106" s="9"/>
      <c r="FQ106" s="9"/>
      <c r="FR106" s="9"/>
      <c r="FS106" s="9"/>
      <c r="FT106" s="9"/>
      <c r="FU106" s="9"/>
      <c r="FV106" s="9"/>
    </row>
    <row r="107" spans="1:178" ht="14.1" customHeight="1" x14ac:dyDescent="0.25">
      <c r="A107" s="164"/>
      <c r="B107" s="116"/>
      <c r="C107" s="5" t="s">
        <v>1</v>
      </c>
      <c r="D107" s="19" t="s">
        <v>19</v>
      </c>
      <c r="E107" s="5" t="s">
        <v>234</v>
      </c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  <c r="EU107" s="9"/>
      <c r="EV107" s="9"/>
      <c r="EW107" s="9"/>
      <c r="EX107" s="9"/>
      <c r="EY107" s="9"/>
      <c r="EZ107" s="9"/>
      <c r="FA107" s="9"/>
      <c r="FB107" s="9"/>
      <c r="FC107" s="9"/>
      <c r="FD107" s="9"/>
      <c r="FE107" s="9"/>
      <c r="FF107" s="9"/>
      <c r="FG107" s="9"/>
      <c r="FH107" s="9"/>
      <c r="FI107" s="9"/>
      <c r="FJ107" s="9"/>
      <c r="FK107" s="9"/>
      <c r="FL107" s="9"/>
      <c r="FM107" s="9"/>
      <c r="FN107" s="9"/>
      <c r="FO107" s="9"/>
      <c r="FP107" s="9"/>
      <c r="FQ107" s="9"/>
      <c r="FR107" s="9"/>
      <c r="FS107" s="9"/>
      <c r="FT107" s="9"/>
      <c r="FU107" s="9"/>
      <c r="FV107" s="9"/>
    </row>
    <row r="108" spans="1:178" ht="14.1" customHeight="1" x14ac:dyDescent="0.25">
      <c r="A108" s="164"/>
      <c r="B108" s="116"/>
      <c r="C108" s="5" t="s">
        <v>2</v>
      </c>
      <c r="D108" s="20" t="s">
        <v>20</v>
      </c>
      <c r="E108" s="5" t="s">
        <v>235</v>
      </c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  <c r="EP108" s="9"/>
      <c r="EQ108" s="9"/>
      <c r="ER108" s="9"/>
      <c r="ES108" s="9"/>
      <c r="ET108" s="9"/>
      <c r="EU108" s="9"/>
      <c r="EV108" s="9"/>
      <c r="EW108" s="9"/>
      <c r="EX108" s="9"/>
      <c r="EY108" s="9"/>
      <c r="EZ108" s="9"/>
      <c r="FA108" s="9"/>
      <c r="FB108" s="9"/>
      <c r="FC108" s="9"/>
      <c r="FD108" s="9"/>
      <c r="FE108" s="9"/>
      <c r="FF108" s="9"/>
      <c r="FG108" s="9"/>
      <c r="FH108" s="9"/>
      <c r="FI108" s="9"/>
      <c r="FJ108" s="9"/>
      <c r="FK108" s="9"/>
      <c r="FL108" s="9"/>
      <c r="FM108" s="9"/>
      <c r="FN108" s="9"/>
      <c r="FO108" s="9"/>
      <c r="FP108" s="9"/>
      <c r="FQ108" s="9"/>
      <c r="FR108" s="9"/>
      <c r="FS108" s="9"/>
      <c r="FT108" s="9"/>
      <c r="FU108" s="9"/>
      <c r="FV108" s="9"/>
    </row>
    <row r="109" spans="1:178" ht="14.1" customHeight="1" x14ac:dyDescent="0.25">
      <c r="A109" s="164"/>
      <c r="B109" s="116"/>
      <c r="C109" s="118" t="s">
        <v>3</v>
      </c>
      <c r="D109" s="11" t="s">
        <v>21</v>
      </c>
      <c r="E109" s="5" t="s">
        <v>236</v>
      </c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  <c r="EP109" s="9"/>
      <c r="EQ109" s="9"/>
      <c r="ER109" s="9"/>
      <c r="ES109" s="9"/>
      <c r="ET109" s="9"/>
      <c r="EU109" s="9"/>
      <c r="EV109" s="9"/>
      <c r="EW109" s="9"/>
      <c r="EX109" s="9"/>
      <c r="EY109" s="9"/>
      <c r="EZ109" s="9"/>
      <c r="FA109" s="9"/>
      <c r="FB109" s="9"/>
      <c r="FC109" s="9"/>
      <c r="FD109" s="9"/>
      <c r="FE109" s="9"/>
      <c r="FF109" s="9"/>
      <c r="FG109" s="9"/>
      <c r="FH109" s="9"/>
      <c r="FI109" s="9"/>
      <c r="FJ109" s="9"/>
      <c r="FK109" s="9"/>
      <c r="FL109" s="9"/>
      <c r="FM109" s="9"/>
      <c r="FN109" s="9"/>
      <c r="FO109" s="9"/>
      <c r="FP109" s="9"/>
      <c r="FQ109" s="9"/>
      <c r="FR109" s="9"/>
      <c r="FS109" s="9"/>
      <c r="FT109" s="9"/>
      <c r="FU109" s="9"/>
      <c r="FV109" s="9"/>
    </row>
    <row r="110" spans="1:178" ht="14.1" customHeight="1" x14ac:dyDescent="0.25">
      <c r="A110" s="164"/>
      <c r="B110" s="116"/>
      <c r="C110" s="119"/>
      <c r="D110" s="11" t="s">
        <v>22</v>
      </c>
      <c r="E110" s="5" t="s">
        <v>237</v>
      </c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  <c r="DO110" s="9"/>
      <c r="DP110" s="9"/>
      <c r="DQ110" s="9"/>
      <c r="DR110" s="9"/>
      <c r="DS110" s="9"/>
      <c r="DT110" s="9"/>
      <c r="DU110" s="9"/>
      <c r="DV110" s="9"/>
      <c r="DW110" s="9"/>
      <c r="DX110" s="9"/>
      <c r="DY110" s="9"/>
      <c r="DZ110" s="9"/>
      <c r="EA110" s="9"/>
      <c r="EB110" s="9"/>
      <c r="EC110" s="9"/>
      <c r="ED110" s="9"/>
      <c r="EE110" s="9"/>
      <c r="EF110" s="9"/>
      <c r="EG110" s="9"/>
      <c r="EH110" s="9"/>
      <c r="EI110" s="9"/>
      <c r="EJ110" s="9"/>
      <c r="EK110" s="9"/>
      <c r="EL110" s="9"/>
      <c r="EM110" s="9"/>
      <c r="EN110" s="9"/>
      <c r="EO110" s="9"/>
      <c r="EP110" s="9"/>
      <c r="EQ110" s="9"/>
      <c r="ER110" s="9"/>
      <c r="ES110" s="9"/>
      <c r="ET110" s="9"/>
      <c r="EU110" s="9"/>
      <c r="EV110" s="9"/>
      <c r="EW110" s="9"/>
      <c r="EX110" s="9"/>
      <c r="EY110" s="9"/>
      <c r="EZ110" s="9"/>
      <c r="FA110" s="9"/>
      <c r="FB110" s="9"/>
      <c r="FC110" s="9"/>
      <c r="FD110" s="9"/>
      <c r="FE110" s="9"/>
      <c r="FF110" s="9"/>
      <c r="FG110" s="9"/>
      <c r="FH110" s="9"/>
      <c r="FI110" s="9"/>
      <c r="FJ110" s="9"/>
      <c r="FK110" s="9"/>
      <c r="FL110" s="9"/>
      <c r="FM110" s="9"/>
      <c r="FN110" s="9"/>
      <c r="FO110" s="9"/>
      <c r="FP110" s="9"/>
      <c r="FQ110" s="9"/>
      <c r="FR110" s="9"/>
      <c r="FS110" s="9"/>
      <c r="FT110" s="9"/>
      <c r="FU110" s="9"/>
      <c r="FV110" s="9"/>
    </row>
    <row r="111" spans="1:178" ht="14.1" customHeight="1" x14ac:dyDescent="0.25">
      <c r="A111" s="164"/>
      <c r="B111" s="116"/>
      <c r="C111" s="119"/>
      <c r="D111" s="11" t="s">
        <v>23</v>
      </c>
      <c r="E111" s="5" t="s">
        <v>238</v>
      </c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  <c r="EP111" s="9"/>
      <c r="EQ111" s="9"/>
      <c r="ER111" s="9"/>
      <c r="ES111" s="9"/>
      <c r="ET111" s="9"/>
      <c r="EU111" s="9"/>
      <c r="EV111" s="9"/>
      <c r="EW111" s="9"/>
      <c r="EX111" s="9"/>
      <c r="EY111" s="9"/>
      <c r="EZ111" s="9"/>
      <c r="FA111" s="9"/>
      <c r="FB111" s="9"/>
      <c r="FC111" s="9"/>
      <c r="FD111" s="9"/>
      <c r="FE111" s="9"/>
      <c r="FF111" s="9"/>
      <c r="FG111" s="9"/>
      <c r="FH111" s="9"/>
      <c r="FI111" s="9"/>
      <c r="FJ111" s="9"/>
      <c r="FK111" s="9"/>
      <c r="FL111" s="9"/>
      <c r="FM111" s="9"/>
      <c r="FN111" s="9"/>
      <c r="FO111" s="9"/>
      <c r="FP111" s="9"/>
      <c r="FQ111" s="9"/>
      <c r="FR111" s="9"/>
      <c r="FS111" s="9"/>
      <c r="FT111" s="9"/>
      <c r="FU111" s="9"/>
      <c r="FV111" s="9"/>
    </row>
    <row r="112" spans="1:178" ht="14.1" customHeight="1" x14ac:dyDescent="0.25">
      <c r="A112" s="164"/>
      <c r="B112" s="109"/>
      <c r="C112" s="120"/>
      <c r="D112" s="11" t="s">
        <v>24</v>
      </c>
      <c r="E112" s="5" t="s">
        <v>239</v>
      </c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  <c r="EP112" s="9"/>
      <c r="EQ112" s="9"/>
      <c r="ER112" s="9"/>
      <c r="ES112" s="9"/>
      <c r="ET112" s="9"/>
      <c r="EU112" s="9"/>
      <c r="EV112" s="9"/>
      <c r="EW112" s="9"/>
      <c r="EX112" s="9"/>
      <c r="EY112" s="9"/>
      <c r="EZ112" s="9"/>
      <c r="FA112" s="9"/>
      <c r="FB112" s="9"/>
      <c r="FC112" s="9"/>
      <c r="FD112" s="9"/>
      <c r="FE112" s="9"/>
      <c r="FF112" s="9"/>
      <c r="FG112" s="9"/>
      <c r="FH112" s="9"/>
      <c r="FI112" s="9"/>
      <c r="FJ112" s="9"/>
      <c r="FK112" s="9"/>
      <c r="FL112" s="9"/>
      <c r="FM112" s="9"/>
      <c r="FN112" s="9"/>
      <c r="FO112" s="9"/>
      <c r="FP112" s="9"/>
      <c r="FQ112" s="9"/>
      <c r="FR112" s="9"/>
      <c r="FS112" s="9"/>
      <c r="FT112" s="9"/>
      <c r="FU112" s="9"/>
      <c r="FV112" s="9"/>
    </row>
    <row r="113" spans="1:178" ht="14.1" customHeight="1" x14ac:dyDescent="0.25">
      <c r="A113" s="164"/>
      <c r="B113" s="117" t="s">
        <v>95</v>
      </c>
      <c r="C113" s="5" t="s">
        <v>15</v>
      </c>
      <c r="D113" s="24" t="s">
        <v>18</v>
      </c>
      <c r="E113" s="5" t="s">
        <v>240</v>
      </c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 s="9"/>
      <c r="ED113" s="9"/>
      <c r="EE113" s="9"/>
      <c r="EF113" s="9"/>
      <c r="EG113" s="9"/>
      <c r="EH113" s="9"/>
      <c r="EI113" s="9"/>
      <c r="EJ113" s="9"/>
      <c r="EK113" s="9"/>
      <c r="EL113" s="9"/>
      <c r="EM113" s="9"/>
      <c r="EN113" s="9"/>
      <c r="EO113" s="9"/>
      <c r="EP113" s="9"/>
      <c r="EQ113" s="9"/>
      <c r="ER113" s="9"/>
      <c r="ES113" s="9"/>
      <c r="ET113" s="9"/>
      <c r="EU113" s="9"/>
      <c r="EV113" s="9"/>
      <c r="EW113" s="9"/>
      <c r="EX113" s="9"/>
      <c r="EY113" s="9"/>
      <c r="EZ113" s="9"/>
      <c r="FA113" s="9"/>
      <c r="FB113" s="9"/>
      <c r="FC113" s="9"/>
      <c r="FD113" s="9"/>
      <c r="FE113" s="9"/>
      <c r="FF113" s="9"/>
      <c r="FG113" s="9"/>
      <c r="FH113" s="9"/>
      <c r="FI113" s="9"/>
      <c r="FJ113" s="9"/>
      <c r="FK113" s="9"/>
      <c r="FL113" s="9"/>
      <c r="FM113" s="9"/>
      <c r="FN113" s="9"/>
      <c r="FO113" s="9"/>
      <c r="FP113" s="9"/>
      <c r="FQ113" s="9"/>
      <c r="FR113" s="9"/>
      <c r="FS113" s="9"/>
      <c r="FT113" s="9"/>
      <c r="FU113" s="9"/>
      <c r="FV113" s="9"/>
    </row>
    <row r="114" spans="1:178" ht="14.1" customHeight="1" x14ac:dyDescent="0.25">
      <c r="A114" s="164"/>
      <c r="B114" s="116"/>
      <c r="C114" s="5" t="s">
        <v>1</v>
      </c>
      <c r="D114" s="19" t="s">
        <v>19</v>
      </c>
      <c r="E114" s="5" t="s">
        <v>241</v>
      </c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 s="9"/>
      <c r="ED114" s="9"/>
      <c r="EE114" s="9"/>
      <c r="EF114" s="9"/>
      <c r="EG114" s="9"/>
      <c r="EH114" s="9"/>
      <c r="EI114" s="9"/>
      <c r="EJ114" s="9"/>
      <c r="EK114" s="9"/>
      <c r="EL114" s="9"/>
      <c r="EM114" s="9"/>
      <c r="EN114" s="9"/>
      <c r="EO114" s="9"/>
      <c r="EP114" s="9"/>
      <c r="EQ114" s="9"/>
      <c r="ER114" s="9"/>
      <c r="ES114" s="9"/>
      <c r="ET114" s="9"/>
      <c r="EU114" s="9"/>
      <c r="EV114" s="9"/>
      <c r="EW114" s="9"/>
      <c r="EX114" s="9"/>
      <c r="EY114" s="9"/>
      <c r="EZ114" s="9"/>
      <c r="FA114" s="9"/>
      <c r="FB114" s="9"/>
      <c r="FC114" s="9"/>
      <c r="FD114" s="9"/>
      <c r="FE114" s="9"/>
      <c r="FF114" s="9"/>
      <c r="FG114" s="9"/>
      <c r="FH114" s="9"/>
      <c r="FI114" s="9"/>
      <c r="FJ114" s="9"/>
      <c r="FK114" s="9"/>
      <c r="FL114" s="9"/>
      <c r="FM114" s="9"/>
      <c r="FN114" s="9"/>
      <c r="FO114" s="9"/>
      <c r="FP114" s="9"/>
      <c r="FQ114" s="9"/>
      <c r="FR114" s="9"/>
      <c r="FS114" s="9"/>
      <c r="FT114" s="9"/>
      <c r="FU114" s="9"/>
      <c r="FV114" s="9"/>
    </row>
    <row r="115" spans="1:178" ht="14.1" customHeight="1" x14ac:dyDescent="0.25">
      <c r="A115" s="164"/>
      <c r="B115" s="116"/>
      <c r="C115" s="5" t="s">
        <v>2</v>
      </c>
      <c r="D115" s="20" t="s">
        <v>20</v>
      </c>
      <c r="E115" s="5" t="s">
        <v>242</v>
      </c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  <c r="EP115" s="9"/>
      <c r="EQ115" s="9"/>
      <c r="ER115" s="9"/>
      <c r="ES115" s="9"/>
      <c r="ET115" s="9"/>
      <c r="EU115" s="9"/>
      <c r="EV115" s="9"/>
      <c r="EW115" s="9"/>
      <c r="EX115" s="9"/>
      <c r="EY115" s="9"/>
      <c r="EZ115" s="9"/>
      <c r="FA115" s="9"/>
      <c r="FB115" s="9"/>
      <c r="FC115" s="9"/>
      <c r="FD115" s="9"/>
      <c r="FE115" s="9"/>
      <c r="FF115" s="9"/>
      <c r="FG115" s="9"/>
      <c r="FH115" s="9"/>
      <c r="FI115" s="9"/>
      <c r="FJ115" s="9"/>
      <c r="FK115" s="9"/>
      <c r="FL115" s="9"/>
      <c r="FM115" s="9"/>
      <c r="FN115" s="9"/>
      <c r="FO115" s="9"/>
      <c r="FP115" s="9"/>
      <c r="FQ115" s="9"/>
      <c r="FR115" s="9"/>
      <c r="FS115" s="9"/>
      <c r="FT115" s="9"/>
      <c r="FU115" s="9"/>
      <c r="FV115" s="9"/>
    </row>
    <row r="116" spans="1:178" ht="14.1" customHeight="1" x14ac:dyDescent="0.25">
      <c r="A116" s="164"/>
      <c r="B116" s="116"/>
      <c r="C116" s="118" t="s">
        <v>3</v>
      </c>
      <c r="D116" s="11" t="s">
        <v>21</v>
      </c>
      <c r="E116" s="5" t="s">
        <v>243</v>
      </c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 s="9"/>
      <c r="ED116" s="9"/>
      <c r="EE116" s="9"/>
      <c r="EF116" s="9"/>
      <c r="EG116" s="9"/>
      <c r="EH116" s="9"/>
      <c r="EI116" s="9"/>
      <c r="EJ116" s="9"/>
      <c r="EK116" s="9"/>
      <c r="EL116" s="9"/>
      <c r="EM116" s="9"/>
      <c r="EN116" s="9"/>
      <c r="EO116" s="9"/>
      <c r="EP116" s="9"/>
      <c r="EQ116" s="9"/>
      <c r="ER116" s="9"/>
      <c r="ES116" s="9"/>
      <c r="ET116" s="9"/>
      <c r="EU116" s="9"/>
      <c r="EV116" s="9"/>
      <c r="EW116" s="9"/>
      <c r="EX116" s="9"/>
      <c r="EY116" s="9"/>
      <c r="EZ116" s="9"/>
      <c r="FA116" s="9"/>
      <c r="FB116" s="9"/>
      <c r="FC116" s="9"/>
      <c r="FD116" s="9"/>
      <c r="FE116" s="9"/>
      <c r="FF116" s="9"/>
      <c r="FG116" s="9"/>
      <c r="FH116" s="9"/>
      <c r="FI116" s="9"/>
      <c r="FJ116" s="9"/>
      <c r="FK116" s="9"/>
      <c r="FL116" s="9"/>
      <c r="FM116" s="9"/>
      <c r="FN116" s="9"/>
      <c r="FO116" s="9"/>
      <c r="FP116" s="9"/>
      <c r="FQ116" s="9"/>
      <c r="FR116" s="9"/>
      <c r="FS116" s="9"/>
      <c r="FT116" s="9"/>
      <c r="FU116" s="9"/>
      <c r="FV116" s="9"/>
    </row>
    <row r="117" spans="1:178" ht="14.1" customHeight="1" x14ac:dyDescent="0.25">
      <c r="A117" s="164"/>
      <c r="B117" s="116"/>
      <c r="C117" s="119"/>
      <c r="D117" s="11" t="s">
        <v>22</v>
      </c>
      <c r="E117" s="5" t="s">
        <v>244</v>
      </c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9"/>
      <c r="DP117" s="9"/>
      <c r="DQ117" s="9"/>
      <c r="DR117" s="9"/>
      <c r="DS117" s="9"/>
      <c r="DT117" s="9"/>
      <c r="DU117" s="9"/>
      <c r="DV117" s="9"/>
      <c r="DW117" s="9"/>
      <c r="DX117" s="9"/>
      <c r="DY117" s="9"/>
      <c r="DZ117" s="9"/>
      <c r="EA117" s="9"/>
      <c r="EB117" s="9"/>
      <c r="EC117" s="9"/>
      <c r="ED117" s="9"/>
      <c r="EE117" s="9"/>
      <c r="EF117" s="9"/>
      <c r="EG117" s="9"/>
      <c r="EH117" s="9"/>
      <c r="EI117" s="9"/>
      <c r="EJ117" s="9"/>
      <c r="EK117" s="9"/>
      <c r="EL117" s="9"/>
      <c r="EM117" s="9"/>
      <c r="EN117" s="9"/>
      <c r="EO117" s="9"/>
      <c r="EP117" s="9"/>
      <c r="EQ117" s="9"/>
      <c r="ER117" s="9"/>
      <c r="ES117" s="9"/>
      <c r="ET117" s="9"/>
      <c r="EU117" s="9"/>
      <c r="EV117" s="9"/>
      <c r="EW117" s="9"/>
      <c r="EX117" s="9"/>
      <c r="EY117" s="9"/>
      <c r="EZ117" s="9"/>
      <c r="FA117" s="9"/>
      <c r="FB117" s="9"/>
      <c r="FC117" s="9"/>
      <c r="FD117" s="9"/>
      <c r="FE117" s="9"/>
      <c r="FF117" s="9"/>
      <c r="FG117" s="9"/>
      <c r="FH117" s="9"/>
      <c r="FI117" s="9"/>
      <c r="FJ117" s="9"/>
      <c r="FK117" s="9"/>
      <c r="FL117" s="9"/>
      <c r="FM117" s="9"/>
      <c r="FN117" s="9"/>
      <c r="FO117" s="9"/>
      <c r="FP117" s="9"/>
      <c r="FQ117" s="9"/>
      <c r="FR117" s="9"/>
      <c r="FS117" s="9"/>
      <c r="FT117" s="9"/>
      <c r="FU117" s="9"/>
      <c r="FV117" s="9"/>
    </row>
    <row r="118" spans="1:178" ht="14.1" customHeight="1" x14ac:dyDescent="0.25">
      <c r="A118" s="164"/>
      <c r="B118" s="116"/>
      <c r="C118" s="119"/>
      <c r="D118" s="11" t="s">
        <v>23</v>
      </c>
      <c r="E118" s="5" t="s">
        <v>245</v>
      </c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  <c r="EC118" s="9"/>
      <c r="ED118" s="9"/>
      <c r="EE118" s="9"/>
      <c r="EF118" s="9"/>
      <c r="EG118" s="9"/>
      <c r="EH118" s="9"/>
      <c r="EI118" s="9"/>
      <c r="EJ118" s="9"/>
      <c r="EK118" s="9"/>
      <c r="EL118" s="9"/>
      <c r="EM118" s="9"/>
      <c r="EN118" s="9"/>
      <c r="EO118" s="9"/>
      <c r="EP118" s="9"/>
      <c r="EQ118" s="9"/>
      <c r="ER118" s="9"/>
      <c r="ES118" s="9"/>
      <c r="ET118" s="9"/>
      <c r="EU118" s="9"/>
      <c r="EV118" s="9"/>
      <c r="EW118" s="9"/>
      <c r="EX118" s="9"/>
      <c r="EY118" s="9"/>
      <c r="EZ118" s="9"/>
      <c r="FA118" s="9"/>
      <c r="FB118" s="9"/>
      <c r="FC118" s="9"/>
      <c r="FD118" s="9"/>
      <c r="FE118" s="9"/>
      <c r="FF118" s="9"/>
      <c r="FG118" s="9"/>
      <c r="FH118" s="9"/>
      <c r="FI118" s="9"/>
      <c r="FJ118" s="9"/>
      <c r="FK118" s="9"/>
      <c r="FL118" s="9"/>
      <c r="FM118" s="9"/>
      <c r="FN118" s="9"/>
      <c r="FO118" s="9"/>
      <c r="FP118" s="9"/>
      <c r="FQ118" s="9"/>
      <c r="FR118" s="9"/>
      <c r="FS118" s="9"/>
      <c r="FT118" s="9"/>
      <c r="FU118" s="9"/>
      <c r="FV118" s="9"/>
    </row>
    <row r="119" spans="1:178" ht="14.1" customHeight="1" x14ac:dyDescent="0.25">
      <c r="A119" s="164"/>
      <c r="B119" s="109"/>
      <c r="C119" s="120"/>
      <c r="D119" s="11" t="s">
        <v>24</v>
      </c>
      <c r="E119" s="5" t="s">
        <v>246</v>
      </c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  <c r="DO119" s="9"/>
      <c r="DP119" s="9"/>
      <c r="DQ119" s="9"/>
      <c r="DR119" s="9"/>
      <c r="DS119" s="9"/>
      <c r="DT119" s="9"/>
      <c r="DU119" s="9"/>
      <c r="DV119" s="9"/>
      <c r="DW119" s="9"/>
      <c r="DX119" s="9"/>
      <c r="DY119" s="9"/>
      <c r="DZ119" s="9"/>
      <c r="EA119" s="9"/>
      <c r="EB119" s="9"/>
      <c r="EC119" s="9"/>
      <c r="ED119" s="9"/>
      <c r="EE119" s="9"/>
      <c r="EF119" s="9"/>
      <c r="EG119" s="9"/>
      <c r="EH119" s="9"/>
      <c r="EI119" s="9"/>
      <c r="EJ119" s="9"/>
      <c r="EK119" s="9"/>
      <c r="EL119" s="9"/>
      <c r="EM119" s="9"/>
      <c r="EN119" s="9"/>
      <c r="EO119" s="9"/>
      <c r="EP119" s="9"/>
      <c r="EQ119" s="9"/>
      <c r="ER119" s="9"/>
      <c r="ES119" s="9"/>
      <c r="ET119" s="9"/>
      <c r="EU119" s="9"/>
      <c r="EV119" s="9"/>
      <c r="EW119" s="9"/>
      <c r="EX119" s="9"/>
      <c r="EY119" s="9"/>
      <c r="EZ119" s="9"/>
      <c r="FA119" s="9"/>
      <c r="FB119" s="9"/>
      <c r="FC119" s="9"/>
      <c r="FD119" s="9"/>
      <c r="FE119" s="9"/>
      <c r="FF119" s="9"/>
      <c r="FG119" s="9"/>
      <c r="FH119" s="9"/>
      <c r="FI119" s="9"/>
      <c r="FJ119" s="9"/>
      <c r="FK119" s="9"/>
      <c r="FL119" s="9"/>
      <c r="FM119" s="9"/>
      <c r="FN119" s="9"/>
      <c r="FO119" s="9"/>
      <c r="FP119" s="9"/>
      <c r="FQ119" s="9"/>
      <c r="FR119" s="9"/>
      <c r="FS119" s="9"/>
      <c r="FT119" s="9"/>
      <c r="FU119" s="9"/>
      <c r="FV119" s="9"/>
    </row>
    <row r="120" spans="1:178" ht="14.1" customHeight="1" x14ac:dyDescent="0.25">
      <c r="A120" s="164"/>
      <c r="B120" s="117" t="s">
        <v>96</v>
      </c>
      <c r="C120" s="5" t="s">
        <v>15</v>
      </c>
      <c r="D120" s="24" t="s">
        <v>18</v>
      </c>
      <c r="E120" s="5" t="s">
        <v>247</v>
      </c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  <c r="EU120" s="9"/>
      <c r="EV120" s="9"/>
      <c r="EW120" s="9"/>
      <c r="EX120" s="9"/>
      <c r="EY120" s="9"/>
      <c r="EZ120" s="9"/>
      <c r="FA120" s="9"/>
      <c r="FB120" s="9"/>
      <c r="FC120" s="9"/>
      <c r="FD120" s="9"/>
      <c r="FE120" s="9"/>
      <c r="FF120" s="9"/>
      <c r="FG120" s="9"/>
      <c r="FH120" s="9"/>
      <c r="FI120" s="9"/>
      <c r="FJ120" s="9"/>
      <c r="FK120" s="9"/>
      <c r="FL120" s="9"/>
      <c r="FM120" s="9"/>
      <c r="FN120" s="9"/>
      <c r="FO120" s="9"/>
      <c r="FP120" s="9"/>
      <c r="FQ120" s="9"/>
      <c r="FR120" s="9"/>
      <c r="FS120" s="9"/>
      <c r="FT120" s="9"/>
      <c r="FU120" s="9"/>
      <c r="FV120" s="9"/>
    </row>
    <row r="121" spans="1:178" ht="14.1" customHeight="1" x14ac:dyDescent="0.25">
      <c r="A121" s="164"/>
      <c r="B121" s="116"/>
      <c r="C121" s="5" t="s">
        <v>1</v>
      </c>
      <c r="D121" s="19" t="s">
        <v>19</v>
      </c>
      <c r="E121" s="5" t="s">
        <v>248</v>
      </c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  <c r="EU121" s="9"/>
      <c r="EV121" s="9"/>
      <c r="EW121" s="9"/>
      <c r="EX121" s="9"/>
      <c r="EY121" s="9"/>
      <c r="EZ121" s="9"/>
      <c r="FA121" s="9"/>
      <c r="FB121" s="9"/>
      <c r="FC121" s="9"/>
      <c r="FD121" s="9"/>
      <c r="FE121" s="9"/>
      <c r="FF121" s="9"/>
      <c r="FG121" s="9"/>
      <c r="FH121" s="9"/>
      <c r="FI121" s="9"/>
      <c r="FJ121" s="9"/>
      <c r="FK121" s="9"/>
      <c r="FL121" s="9"/>
      <c r="FM121" s="9"/>
      <c r="FN121" s="9"/>
      <c r="FO121" s="9"/>
      <c r="FP121" s="9"/>
      <c r="FQ121" s="9"/>
      <c r="FR121" s="9"/>
      <c r="FS121" s="9"/>
      <c r="FT121" s="9"/>
      <c r="FU121" s="9"/>
      <c r="FV121" s="9"/>
    </row>
    <row r="122" spans="1:178" ht="14.1" customHeight="1" x14ac:dyDescent="0.25">
      <c r="A122" s="164"/>
      <c r="B122" s="109"/>
      <c r="C122" s="5" t="s">
        <v>2</v>
      </c>
      <c r="D122" s="20" t="s">
        <v>20</v>
      </c>
      <c r="E122" s="5" t="s">
        <v>249</v>
      </c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  <c r="EP122" s="9"/>
      <c r="EQ122" s="9"/>
      <c r="ER122" s="9"/>
      <c r="ES122" s="9"/>
      <c r="ET122" s="9"/>
      <c r="EU122" s="9"/>
      <c r="EV122" s="9"/>
      <c r="EW122" s="9"/>
      <c r="EX122" s="9"/>
      <c r="EY122" s="9"/>
      <c r="EZ122" s="9"/>
      <c r="FA122" s="9"/>
      <c r="FB122" s="9"/>
      <c r="FC122" s="9"/>
      <c r="FD122" s="9"/>
      <c r="FE122" s="9"/>
      <c r="FF122" s="9"/>
      <c r="FG122" s="9"/>
      <c r="FH122" s="9"/>
      <c r="FI122" s="9"/>
      <c r="FJ122" s="9"/>
      <c r="FK122" s="9"/>
      <c r="FL122" s="9"/>
      <c r="FM122" s="9"/>
      <c r="FN122" s="9"/>
      <c r="FO122" s="9"/>
      <c r="FP122" s="9"/>
      <c r="FQ122" s="9"/>
      <c r="FR122" s="9"/>
      <c r="FS122" s="9"/>
      <c r="FT122" s="9"/>
      <c r="FU122" s="9"/>
      <c r="FV122" s="9"/>
    </row>
    <row r="123" spans="1:178" ht="14.1" customHeight="1" x14ac:dyDescent="0.25">
      <c r="A123" s="164"/>
      <c r="B123" s="117" t="s">
        <v>98</v>
      </c>
      <c r="C123" s="5" t="s">
        <v>15</v>
      </c>
      <c r="D123" s="24" t="s">
        <v>18</v>
      </c>
      <c r="E123" s="5" t="s">
        <v>250</v>
      </c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  <c r="FI123" s="9"/>
      <c r="FJ123" s="9"/>
      <c r="FK123" s="9"/>
      <c r="FL123" s="9"/>
      <c r="FM123" s="9"/>
      <c r="FN123" s="9"/>
      <c r="FO123" s="9"/>
      <c r="FP123" s="9"/>
      <c r="FQ123" s="9"/>
      <c r="FR123" s="9"/>
      <c r="FS123" s="9"/>
      <c r="FT123" s="9"/>
      <c r="FU123" s="9"/>
      <c r="FV123" s="9"/>
    </row>
    <row r="124" spans="1:178" ht="14.1" customHeight="1" x14ac:dyDescent="0.25">
      <c r="A124" s="164"/>
      <c r="B124" s="116"/>
      <c r="C124" s="5" t="s">
        <v>1</v>
      </c>
      <c r="D124" s="19" t="s">
        <v>19</v>
      </c>
      <c r="E124" s="5" t="s">
        <v>251</v>
      </c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  <c r="EI124" s="9"/>
      <c r="EJ124" s="9"/>
      <c r="EK124" s="9"/>
      <c r="EL124" s="9"/>
      <c r="EM124" s="9"/>
      <c r="EN124" s="9"/>
      <c r="EO124" s="9"/>
      <c r="EP124" s="9"/>
      <c r="EQ124" s="9"/>
      <c r="ER124" s="9"/>
      <c r="ES124" s="9"/>
      <c r="ET124" s="9"/>
      <c r="EU124" s="9"/>
      <c r="EV124" s="9"/>
      <c r="EW124" s="9"/>
      <c r="EX124" s="9"/>
      <c r="EY124" s="9"/>
      <c r="EZ124" s="9"/>
      <c r="FA124" s="9"/>
      <c r="FB124" s="9"/>
      <c r="FC124" s="9"/>
      <c r="FD124" s="9"/>
      <c r="FE124" s="9"/>
      <c r="FF124" s="9"/>
      <c r="FG124" s="9"/>
      <c r="FH124" s="9"/>
      <c r="FI124" s="9"/>
      <c r="FJ124" s="9"/>
      <c r="FK124" s="9"/>
      <c r="FL124" s="9"/>
      <c r="FM124" s="9"/>
      <c r="FN124" s="9"/>
      <c r="FO124" s="9"/>
      <c r="FP124" s="9"/>
      <c r="FQ124" s="9"/>
      <c r="FR124" s="9"/>
      <c r="FS124" s="9"/>
      <c r="FT124" s="9"/>
      <c r="FU124" s="9"/>
      <c r="FV124" s="9"/>
    </row>
    <row r="125" spans="1:178" ht="14.1" customHeight="1" x14ac:dyDescent="0.25">
      <c r="A125" s="164"/>
      <c r="B125" s="109"/>
      <c r="C125" s="5" t="s">
        <v>2</v>
      </c>
      <c r="D125" s="20" t="s">
        <v>20</v>
      </c>
      <c r="E125" s="5" t="s">
        <v>252</v>
      </c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9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</row>
    <row r="126" spans="1:178" ht="14.1" customHeight="1" x14ac:dyDescent="0.25">
      <c r="A126" s="164"/>
      <c r="B126" s="117" t="s">
        <v>99</v>
      </c>
      <c r="C126" s="5" t="s">
        <v>15</v>
      </c>
      <c r="D126" s="24" t="s">
        <v>18</v>
      </c>
      <c r="E126" s="5" t="s">
        <v>253</v>
      </c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</row>
    <row r="127" spans="1:178" ht="14.1" customHeight="1" x14ac:dyDescent="0.25">
      <c r="A127" s="164"/>
      <c r="B127" s="116"/>
      <c r="C127" s="5" t="s">
        <v>1</v>
      </c>
      <c r="D127" s="19" t="s">
        <v>19</v>
      </c>
      <c r="E127" s="5" t="s">
        <v>254</v>
      </c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</row>
    <row r="128" spans="1:178" ht="14.1" customHeight="1" x14ac:dyDescent="0.25">
      <c r="A128" s="164"/>
      <c r="B128" s="109"/>
      <c r="C128" s="5" t="s">
        <v>2</v>
      </c>
      <c r="D128" s="20" t="s">
        <v>20</v>
      </c>
      <c r="E128" s="5" t="s">
        <v>255</v>
      </c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  <c r="EA128" s="9"/>
      <c r="EB128" s="9"/>
      <c r="EC128" s="9"/>
      <c r="ED128" s="9"/>
      <c r="EE128" s="9"/>
      <c r="EF128" s="9"/>
      <c r="EG128" s="9"/>
      <c r="EH128" s="9"/>
      <c r="EI128" s="9"/>
      <c r="EJ128" s="9"/>
      <c r="EK128" s="9"/>
      <c r="EL128" s="9"/>
      <c r="EM128" s="9"/>
      <c r="EN128" s="9"/>
      <c r="EO128" s="9"/>
      <c r="EP128" s="9"/>
      <c r="EQ128" s="9"/>
      <c r="ER128" s="9"/>
      <c r="ES128" s="9"/>
      <c r="ET128" s="9"/>
      <c r="EU128" s="9"/>
      <c r="EV128" s="9"/>
      <c r="EW128" s="9"/>
      <c r="EX128" s="9"/>
      <c r="EY128" s="9"/>
      <c r="EZ128" s="9"/>
      <c r="FA128" s="9"/>
      <c r="FB128" s="9"/>
      <c r="FC128" s="9"/>
      <c r="FD128" s="9"/>
      <c r="FE128" s="9"/>
      <c r="FF128" s="9"/>
      <c r="FG128" s="9"/>
      <c r="FH128" s="9"/>
      <c r="FI128" s="9"/>
      <c r="FJ128" s="9"/>
      <c r="FK128" s="9"/>
      <c r="FL128" s="9"/>
      <c r="FM128" s="9"/>
      <c r="FN128" s="9"/>
      <c r="FO128" s="9"/>
      <c r="FP128" s="9"/>
      <c r="FQ128" s="9"/>
      <c r="FR128" s="9"/>
      <c r="FS128" s="9"/>
      <c r="FT128" s="9"/>
      <c r="FU128" s="9"/>
      <c r="FV128" s="9"/>
    </row>
    <row r="129" spans="1:178" ht="14.1" customHeight="1" x14ac:dyDescent="0.25">
      <c r="A129" s="164"/>
      <c r="B129" s="117" t="s">
        <v>100</v>
      </c>
      <c r="C129" s="5" t="s">
        <v>15</v>
      </c>
      <c r="D129" s="24" t="s">
        <v>18</v>
      </c>
      <c r="E129" s="5" t="s">
        <v>256</v>
      </c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  <c r="FI129" s="9"/>
      <c r="FJ129" s="9"/>
      <c r="FK129" s="9"/>
      <c r="FL129" s="9"/>
      <c r="FM129" s="9"/>
      <c r="FN129" s="9"/>
      <c r="FO129" s="9"/>
      <c r="FP129" s="9"/>
      <c r="FQ129" s="9"/>
      <c r="FR129" s="9"/>
      <c r="FS129" s="9"/>
      <c r="FT129" s="9"/>
      <c r="FU129" s="9"/>
      <c r="FV129" s="9"/>
    </row>
    <row r="130" spans="1:178" ht="14.1" customHeight="1" x14ac:dyDescent="0.25">
      <c r="A130" s="164"/>
      <c r="B130" s="116"/>
      <c r="C130" s="5" t="s">
        <v>2</v>
      </c>
      <c r="D130" s="20" t="s">
        <v>20</v>
      </c>
      <c r="E130" s="5" t="s">
        <v>257</v>
      </c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  <c r="EP130" s="9"/>
      <c r="EQ130" s="9"/>
      <c r="ER130" s="9"/>
      <c r="ES130" s="9"/>
      <c r="ET130" s="9"/>
      <c r="EU130" s="9"/>
      <c r="EV130" s="9"/>
      <c r="EW130" s="9"/>
      <c r="EX130" s="9"/>
      <c r="EY130" s="9"/>
      <c r="EZ130" s="9"/>
      <c r="FA130" s="9"/>
      <c r="FB130" s="9"/>
      <c r="FC130" s="9"/>
      <c r="FD130" s="9"/>
      <c r="FE130" s="9"/>
      <c r="FF130" s="9"/>
      <c r="FG130" s="9"/>
      <c r="FH130" s="9"/>
      <c r="FI130" s="9"/>
      <c r="FJ130" s="9"/>
      <c r="FK130" s="9"/>
      <c r="FL130" s="9"/>
      <c r="FM130" s="9"/>
      <c r="FN130" s="9"/>
      <c r="FO130" s="9"/>
      <c r="FP130" s="9"/>
      <c r="FQ130" s="9"/>
      <c r="FR130" s="9"/>
      <c r="FS130" s="9"/>
      <c r="FT130" s="9"/>
      <c r="FU130" s="9"/>
      <c r="FV130" s="9"/>
    </row>
    <row r="131" spans="1:178" ht="14.1" customHeight="1" x14ac:dyDescent="0.25">
      <c r="A131" s="164"/>
      <c r="B131" s="116"/>
      <c r="C131" s="5" t="s">
        <v>3</v>
      </c>
      <c r="D131" s="11" t="s">
        <v>21</v>
      </c>
      <c r="E131" s="5" t="s">
        <v>258</v>
      </c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  <c r="EU131" s="9"/>
      <c r="EV131" s="9"/>
      <c r="EW131" s="9"/>
      <c r="EX131" s="9"/>
      <c r="EY131" s="9"/>
      <c r="EZ131" s="9"/>
      <c r="FA131" s="9"/>
      <c r="FB131" s="9"/>
      <c r="FC131" s="9"/>
      <c r="FD131" s="9"/>
      <c r="FE131" s="9"/>
      <c r="FF131" s="9"/>
      <c r="FG131" s="9"/>
      <c r="FH131" s="9"/>
      <c r="FI131" s="9"/>
      <c r="FJ131" s="9"/>
      <c r="FK131" s="9"/>
      <c r="FL131" s="9"/>
      <c r="FM131" s="9"/>
      <c r="FN131" s="9"/>
      <c r="FO131" s="9"/>
      <c r="FP131" s="9"/>
      <c r="FQ131" s="9"/>
      <c r="FR131" s="9"/>
      <c r="FS131" s="9"/>
      <c r="FT131" s="9"/>
      <c r="FU131" s="9"/>
      <c r="FV131" s="9"/>
    </row>
    <row r="132" spans="1:178" ht="14.1" customHeight="1" x14ac:dyDescent="0.25">
      <c r="A132" s="164"/>
      <c r="B132" s="116"/>
      <c r="C132" s="5" t="s">
        <v>15</v>
      </c>
      <c r="D132" s="24" t="s">
        <v>18</v>
      </c>
      <c r="E132" s="5" t="s">
        <v>259</v>
      </c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I132" s="9"/>
      <c r="FJ132" s="9"/>
      <c r="FK132" s="9"/>
      <c r="FL132" s="9"/>
      <c r="FM132" s="9"/>
      <c r="FN132" s="9"/>
      <c r="FO132" s="9"/>
      <c r="FP132" s="9"/>
      <c r="FQ132" s="9"/>
      <c r="FR132" s="9"/>
      <c r="FS132" s="9"/>
      <c r="FT132" s="9"/>
      <c r="FU132" s="9"/>
      <c r="FV132" s="9"/>
    </row>
    <row r="133" spans="1:178" ht="14.1" customHeight="1" x14ac:dyDescent="0.25">
      <c r="A133" s="164"/>
      <c r="B133" s="116"/>
      <c r="C133" s="5" t="s">
        <v>2</v>
      </c>
      <c r="D133" s="20" t="s">
        <v>20</v>
      </c>
      <c r="E133" s="5" t="s">
        <v>260</v>
      </c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  <c r="EC133" s="9"/>
      <c r="ED133" s="9"/>
      <c r="EE133" s="9"/>
      <c r="EF133" s="9"/>
      <c r="EG133" s="9"/>
      <c r="EH133" s="9"/>
      <c r="EI133" s="9"/>
      <c r="EJ133" s="9"/>
      <c r="EK133" s="9"/>
      <c r="EL133" s="9"/>
      <c r="EM133" s="9"/>
      <c r="EN133" s="9"/>
      <c r="EO133" s="9"/>
      <c r="EP133" s="9"/>
      <c r="EQ133" s="9"/>
      <c r="ER133" s="9"/>
      <c r="ES133" s="9"/>
      <c r="ET133" s="9"/>
      <c r="EU133" s="9"/>
      <c r="EV133" s="9"/>
      <c r="EW133" s="9"/>
      <c r="EX133" s="9"/>
      <c r="EY133" s="9"/>
      <c r="EZ133" s="9"/>
      <c r="FA133" s="9"/>
      <c r="FB133" s="9"/>
      <c r="FC133" s="9"/>
      <c r="FD133" s="9"/>
      <c r="FE133" s="9"/>
      <c r="FF133" s="9"/>
      <c r="FG133" s="9"/>
      <c r="FH133" s="9"/>
      <c r="FI133" s="9"/>
      <c r="FJ133" s="9"/>
      <c r="FK133" s="9"/>
      <c r="FL133" s="9"/>
      <c r="FM133" s="9"/>
      <c r="FN133" s="9"/>
      <c r="FO133" s="9"/>
      <c r="FP133" s="9"/>
      <c r="FQ133" s="9"/>
      <c r="FR133" s="9"/>
      <c r="FS133" s="9"/>
      <c r="FT133" s="9"/>
      <c r="FU133" s="9"/>
      <c r="FV133" s="9"/>
    </row>
    <row r="134" spans="1:178" ht="14.1" customHeight="1" x14ac:dyDescent="0.25">
      <c r="A134" s="164"/>
      <c r="B134" s="109"/>
      <c r="C134" s="5" t="s">
        <v>3</v>
      </c>
      <c r="D134" s="11" t="s">
        <v>21</v>
      </c>
      <c r="E134" s="5" t="s">
        <v>261</v>
      </c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  <c r="EP134" s="9"/>
      <c r="EQ134" s="9"/>
      <c r="ER134" s="9"/>
      <c r="ES134" s="9"/>
      <c r="ET134" s="9"/>
      <c r="EU134" s="9"/>
      <c r="EV134" s="9"/>
      <c r="EW134" s="9"/>
      <c r="EX134" s="9"/>
      <c r="EY134" s="9"/>
      <c r="EZ134" s="9"/>
      <c r="FA134" s="9"/>
      <c r="FB134" s="9"/>
      <c r="FC134" s="9"/>
      <c r="FD134" s="9"/>
      <c r="FE134" s="9"/>
      <c r="FF134" s="9"/>
      <c r="FG134" s="9"/>
      <c r="FH134" s="9"/>
      <c r="FI134" s="9"/>
      <c r="FJ134" s="9"/>
      <c r="FK134" s="9"/>
      <c r="FL134" s="9"/>
      <c r="FM134" s="9"/>
      <c r="FN134" s="9"/>
      <c r="FO134" s="9"/>
      <c r="FP134" s="9"/>
      <c r="FQ134" s="9"/>
      <c r="FR134" s="9"/>
      <c r="FS134" s="9"/>
      <c r="FT134" s="9"/>
      <c r="FU134" s="9"/>
      <c r="FV134" s="9"/>
    </row>
    <row r="135" spans="1:178" ht="14.1" customHeight="1" x14ac:dyDescent="0.25">
      <c r="A135" s="164"/>
      <c r="B135" s="117" t="s">
        <v>101</v>
      </c>
      <c r="C135" s="5" t="s">
        <v>15</v>
      </c>
      <c r="D135" s="24" t="s">
        <v>18</v>
      </c>
      <c r="E135" s="5" t="s">
        <v>262</v>
      </c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9"/>
      <c r="EA135" s="9"/>
      <c r="EB135" s="9"/>
      <c r="EC135" s="9"/>
      <c r="ED135" s="9"/>
      <c r="EE135" s="9"/>
      <c r="EF135" s="9"/>
      <c r="EG135" s="9"/>
      <c r="EH135" s="9"/>
      <c r="EI135" s="9"/>
      <c r="EJ135" s="9"/>
      <c r="EK135" s="9"/>
      <c r="EL135" s="9"/>
      <c r="EM135" s="9"/>
      <c r="EN135" s="9"/>
      <c r="EO135" s="9"/>
      <c r="EP135" s="9"/>
      <c r="EQ135" s="9"/>
      <c r="ER135" s="9"/>
      <c r="ES135" s="9"/>
      <c r="ET135" s="9"/>
      <c r="EU135" s="9"/>
      <c r="EV135" s="9"/>
      <c r="EW135" s="9"/>
      <c r="EX135" s="9"/>
      <c r="EY135" s="9"/>
      <c r="EZ135" s="9"/>
      <c r="FA135" s="9"/>
      <c r="FB135" s="9"/>
      <c r="FC135" s="9"/>
      <c r="FD135" s="9"/>
      <c r="FE135" s="9"/>
      <c r="FF135" s="9"/>
      <c r="FG135" s="9"/>
      <c r="FH135" s="9"/>
      <c r="FI135" s="9"/>
      <c r="FJ135" s="9"/>
      <c r="FK135" s="9"/>
      <c r="FL135" s="9"/>
      <c r="FM135" s="9"/>
      <c r="FN135" s="9"/>
      <c r="FO135" s="9"/>
      <c r="FP135" s="9"/>
      <c r="FQ135" s="9"/>
      <c r="FR135" s="9"/>
      <c r="FS135" s="9"/>
      <c r="FT135" s="9"/>
      <c r="FU135" s="9"/>
      <c r="FV135" s="9"/>
    </row>
    <row r="136" spans="1:178" ht="14.1" customHeight="1" x14ac:dyDescent="0.25">
      <c r="A136" s="164"/>
      <c r="B136" s="116"/>
      <c r="C136" s="5" t="s">
        <v>1</v>
      </c>
      <c r="D136" s="19" t="s">
        <v>19</v>
      </c>
      <c r="E136" s="5" t="s">
        <v>263</v>
      </c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  <c r="EA136" s="9"/>
      <c r="EB136" s="9"/>
      <c r="EC136" s="9"/>
      <c r="ED136" s="9"/>
      <c r="EE136" s="9"/>
      <c r="EF136" s="9"/>
      <c r="EG136" s="9"/>
      <c r="EH136" s="9"/>
      <c r="EI136" s="9"/>
      <c r="EJ136" s="9"/>
      <c r="EK136" s="9"/>
      <c r="EL136" s="9"/>
      <c r="EM136" s="9"/>
      <c r="EN136" s="9"/>
      <c r="EO136" s="9"/>
      <c r="EP136" s="9"/>
      <c r="EQ136" s="9"/>
      <c r="ER136" s="9"/>
      <c r="ES136" s="9"/>
      <c r="ET136" s="9"/>
      <c r="EU136" s="9"/>
      <c r="EV136" s="9"/>
      <c r="EW136" s="9"/>
      <c r="EX136" s="9"/>
      <c r="EY136" s="9"/>
      <c r="EZ136" s="9"/>
      <c r="FA136" s="9"/>
      <c r="FB136" s="9"/>
      <c r="FC136" s="9"/>
      <c r="FD136" s="9"/>
      <c r="FE136" s="9"/>
      <c r="FF136" s="9"/>
      <c r="FG136" s="9"/>
      <c r="FH136" s="9"/>
      <c r="FI136" s="9"/>
      <c r="FJ136" s="9"/>
      <c r="FK136" s="9"/>
      <c r="FL136" s="9"/>
      <c r="FM136" s="9"/>
      <c r="FN136" s="9"/>
      <c r="FO136" s="9"/>
      <c r="FP136" s="9"/>
      <c r="FQ136" s="9"/>
      <c r="FR136" s="9"/>
      <c r="FS136" s="9"/>
      <c r="FT136" s="9"/>
      <c r="FU136" s="9"/>
      <c r="FV136" s="9"/>
    </row>
    <row r="137" spans="1:178" ht="14.1" customHeight="1" x14ac:dyDescent="0.25">
      <c r="A137" s="164"/>
      <c r="B137" s="109"/>
      <c r="C137" s="5" t="s">
        <v>2</v>
      </c>
      <c r="D137" s="20" t="s">
        <v>20</v>
      </c>
      <c r="E137" s="5" t="s">
        <v>264</v>
      </c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  <c r="EA137" s="9"/>
      <c r="EB137" s="9"/>
      <c r="EC137" s="9"/>
      <c r="ED137" s="9"/>
      <c r="EE137" s="9"/>
      <c r="EF137" s="9"/>
      <c r="EG137" s="9"/>
      <c r="EH137" s="9"/>
      <c r="EI137" s="9"/>
      <c r="EJ137" s="9"/>
      <c r="EK137" s="9"/>
      <c r="EL137" s="9"/>
      <c r="EM137" s="9"/>
      <c r="EN137" s="9"/>
      <c r="EO137" s="9"/>
      <c r="EP137" s="9"/>
      <c r="EQ137" s="9"/>
      <c r="ER137" s="9"/>
      <c r="ES137" s="9"/>
      <c r="ET137" s="9"/>
      <c r="EU137" s="9"/>
      <c r="EV137" s="9"/>
      <c r="EW137" s="9"/>
      <c r="EX137" s="9"/>
      <c r="EY137" s="9"/>
      <c r="EZ137" s="9"/>
      <c r="FA137" s="9"/>
      <c r="FB137" s="9"/>
      <c r="FC137" s="9"/>
      <c r="FD137" s="9"/>
      <c r="FE137" s="9"/>
      <c r="FF137" s="9"/>
      <c r="FG137" s="9"/>
      <c r="FH137" s="9"/>
      <c r="FI137" s="9"/>
      <c r="FJ137" s="9"/>
      <c r="FK137" s="9"/>
      <c r="FL137" s="9"/>
      <c r="FM137" s="9"/>
      <c r="FN137" s="9"/>
      <c r="FO137" s="9"/>
      <c r="FP137" s="9"/>
      <c r="FQ137" s="9"/>
      <c r="FR137" s="9"/>
      <c r="FS137" s="9"/>
      <c r="FT137" s="9"/>
      <c r="FU137" s="9"/>
      <c r="FV137" s="9"/>
    </row>
    <row r="138" spans="1:178" ht="14.1" customHeight="1" x14ac:dyDescent="0.25">
      <c r="A138" s="164"/>
      <c r="B138" s="117" t="s">
        <v>102</v>
      </c>
      <c r="C138" s="5" t="s">
        <v>15</v>
      </c>
      <c r="D138" s="24" t="s">
        <v>18</v>
      </c>
      <c r="E138" s="5" t="s">
        <v>265</v>
      </c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9"/>
      <c r="EA138" s="9"/>
      <c r="EB138" s="9"/>
      <c r="EC138" s="9"/>
      <c r="ED138" s="9"/>
      <c r="EE138" s="9"/>
      <c r="EF138" s="9"/>
      <c r="EG138" s="9"/>
      <c r="EH138" s="9"/>
      <c r="EI138" s="9"/>
      <c r="EJ138" s="9"/>
      <c r="EK138" s="9"/>
      <c r="EL138" s="9"/>
      <c r="EM138" s="9"/>
      <c r="EN138" s="9"/>
      <c r="EO138" s="9"/>
      <c r="EP138" s="9"/>
      <c r="EQ138" s="9"/>
      <c r="ER138" s="9"/>
      <c r="ES138" s="9"/>
      <c r="ET138" s="9"/>
      <c r="EU138" s="9"/>
      <c r="EV138" s="9"/>
      <c r="EW138" s="9"/>
      <c r="EX138" s="9"/>
      <c r="EY138" s="9"/>
      <c r="EZ138" s="9"/>
      <c r="FA138" s="9"/>
      <c r="FB138" s="9"/>
      <c r="FC138" s="9"/>
      <c r="FD138" s="9"/>
      <c r="FE138" s="9"/>
      <c r="FF138" s="9"/>
      <c r="FG138" s="9"/>
      <c r="FH138" s="9"/>
      <c r="FI138" s="9"/>
      <c r="FJ138" s="9"/>
      <c r="FK138" s="9"/>
      <c r="FL138" s="9"/>
      <c r="FM138" s="9"/>
      <c r="FN138" s="9"/>
      <c r="FO138" s="9"/>
      <c r="FP138" s="9"/>
      <c r="FQ138" s="9"/>
      <c r="FR138" s="9"/>
      <c r="FS138" s="9"/>
      <c r="FT138" s="9"/>
      <c r="FU138" s="9"/>
      <c r="FV138" s="9"/>
    </row>
    <row r="139" spans="1:178" ht="14.1" customHeight="1" x14ac:dyDescent="0.25">
      <c r="A139" s="164"/>
      <c r="B139" s="116"/>
      <c r="C139" s="5" t="s">
        <v>1</v>
      </c>
      <c r="D139" s="19" t="s">
        <v>19</v>
      </c>
      <c r="E139" s="5" t="s">
        <v>266</v>
      </c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9"/>
      <c r="EA139" s="9"/>
      <c r="EB139" s="9"/>
      <c r="EC139" s="9"/>
      <c r="ED139" s="9"/>
      <c r="EE139" s="9"/>
      <c r="EF139" s="9"/>
      <c r="EG139" s="9"/>
      <c r="EH139" s="9"/>
      <c r="EI139" s="9"/>
      <c r="EJ139" s="9"/>
      <c r="EK139" s="9"/>
      <c r="EL139" s="9"/>
      <c r="EM139" s="9"/>
      <c r="EN139" s="9"/>
      <c r="EO139" s="9"/>
      <c r="EP139" s="9"/>
      <c r="EQ139" s="9"/>
      <c r="ER139" s="9"/>
      <c r="ES139" s="9"/>
      <c r="ET139" s="9"/>
      <c r="EU139" s="9"/>
      <c r="EV139" s="9"/>
      <c r="EW139" s="9"/>
      <c r="EX139" s="9"/>
      <c r="EY139" s="9"/>
      <c r="EZ139" s="9"/>
      <c r="FA139" s="9"/>
      <c r="FB139" s="9"/>
      <c r="FC139" s="9"/>
      <c r="FD139" s="9"/>
      <c r="FE139" s="9"/>
      <c r="FF139" s="9"/>
      <c r="FG139" s="9"/>
      <c r="FH139" s="9"/>
      <c r="FI139" s="9"/>
      <c r="FJ139" s="9"/>
      <c r="FK139" s="9"/>
      <c r="FL139" s="9"/>
      <c r="FM139" s="9"/>
      <c r="FN139" s="9"/>
      <c r="FO139" s="9"/>
      <c r="FP139" s="9"/>
      <c r="FQ139" s="9"/>
      <c r="FR139" s="9"/>
      <c r="FS139" s="9"/>
      <c r="FT139" s="9"/>
      <c r="FU139" s="9"/>
      <c r="FV139" s="9"/>
    </row>
    <row r="140" spans="1:178" ht="14.1" customHeight="1" x14ac:dyDescent="0.25">
      <c r="A140" s="164"/>
      <c r="B140" s="109"/>
      <c r="C140" s="5" t="s">
        <v>2</v>
      </c>
      <c r="D140" s="20" t="s">
        <v>20</v>
      </c>
      <c r="E140" s="5" t="s">
        <v>267</v>
      </c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  <c r="EI140" s="9"/>
      <c r="EJ140" s="9"/>
      <c r="EK140" s="9"/>
      <c r="EL140" s="9"/>
      <c r="EM140" s="9"/>
      <c r="EN140" s="9"/>
      <c r="EO140" s="9"/>
      <c r="EP140" s="9"/>
      <c r="EQ140" s="9"/>
      <c r="ER140" s="9"/>
      <c r="ES140" s="9"/>
      <c r="ET140" s="9"/>
      <c r="EU140" s="9"/>
      <c r="EV140" s="9"/>
      <c r="EW140" s="9"/>
      <c r="EX140" s="9"/>
      <c r="EY140" s="9"/>
      <c r="EZ140" s="9"/>
      <c r="FA140" s="9"/>
      <c r="FB140" s="9"/>
      <c r="FC140" s="9"/>
      <c r="FD140" s="9"/>
      <c r="FE140" s="9"/>
      <c r="FF140" s="9"/>
      <c r="FG140" s="9"/>
      <c r="FH140" s="9"/>
      <c r="FI140" s="9"/>
      <c r="FJ140" s="9"/>
      <c r="FK140" s="9"/>
      <c r="FL140" s="9"/>
      <c r="FM140" s="9"/>
      <c r="FN140" s="9"/>
      <c r="FO140" s="9"/>
      <c r="FP140" s="9"/>
      <c r="FQ140" s="9"/>
      <c r="FR140" s="9"/>
      <c r="FS140" s="9"/>
      <c r="FT140" s="9"/>
      <c r="FU140" s="9"/>
      <c r="FV140" s="9"/>
    </row>
    <row r="141" spans="1:178" ht="14.1" customHeight="1" x14ac:dyDescent="0.25">
      <c r="A141" s="164"/>
      <c r="B141" s="117" t="s">
        <v>103</v>
      </c>
      <c r="C141" s="5" t="s">
        <v>15</v>
      </c>
      <c r="D141" s="24" t="s">
        <v>18</v>
      </c>
      <c r="E141" s="5" t="s">
        <v>268</v>
      </c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9"/>
      <c r="DP141" s="9"/>
      <c r="DQ141" s="9"/>
      <c r="DR141" s="9"/>
      <c r="DS141" s="9"/>
      <c r="DT141" s="9"/>
      <c r="DU141" s="9"/>
      <c r="DV141" s="9"/>
      <c r="DW141" s="9"/>
      <c r="DX141" s="9"/>
      <c r="DY141" s="9"/>
      <c r="DZ141" s="9"/>
      <c r="EA141" s="9"/>
      <c r="EB141" s="9"/>
      <c r="EC141" s="9"/>
      <c r="ED141" s="9"/>
      <c r="EE141" s="9"/>
      <c r="EF141" s="9"/>
      <c r="EG141" s="9"/>
      <c r="EH141" s="9"/>
      <c r="EI141" s="9"/>
      <c r="EJ141" s="9"/>
      <c r="EK141" s="9"/>
      <c r="EL141" s="9"/>
      <c r="EM141" s="9"/>
      <c r="EN141" s="9"/>
      <c r="EO141" s="9"/>
      <c r="EP141" s="9"/>
      <c r="EQ141" s="9"/>
      <c r="ER141" s="9"/>
      <c r="ES141" s="9"/>
      <c r="ET141" s="9"/>
      <c r="EU141" s="9"/>
      <c r="EV141" s="9"/>
      <c r="EW141" s="9"/>
      <c r="EX141" s="9"/>
      <c r="EY141" s="9"/>
      <c r="EZ141" s="9"/>
      <c r="FA141" s="9"/>
      <c r="FB141" s="9"/>
      <c r="FC141" s="9"/>
      <c r="FD141" s="9"/>
      <c r="FE141" s="9"/>
      <c r="FF141" s="9"/>
      <c r="FG141" s="9"/>
      <c r="FH141" s="9"/>
      <c r="FI141" s="9"/>
      <c r="FJ141" s="9"/>
      <c r="FK141" s="9"/>
      <c r="FL141" s="9"/>
      <c r="FM141" s="9"/>
      <c r="FN141" s="9"/>
      <c r="FO141" s="9"/>
      <c r="FP141" s="9"/>
      <c r="FQ141" s="9"/>
      <c r="FR141" s="9"/>
      <c r="FS141" s="9"/>
      <c r="FT141" s="9"/>
      <c r="FU141" s="9"/>
      <c r="FV141" s="9"/>
    </row>
    <row r="142" spans="1:178" ht="15.95" customHeight="1" x14ac:dyDescent="0.25">
      <c r="A142" s="164"/>
      <c r="B142" s="116"/>
      <c r="C142" s="5" t="s">
        <v>2</v>
      </c>
      <c r="D142" s="20" t="s">
        <v>20</v>
      </c>
      <c r="E142" s="5" t="s">
        <v>269</v>
      </c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9"/>
      <c r="EA142" s="9"/>
      <c r="EB142" s="9"/>
      <c r="EC142" s="9"/>
      <c r="ED142" s="9"/>
      <c r="EE142" s="9"/>
      <c r="EF142" s="9"/>
      <c r="EG142" s="9"/>
      <c r="EH142" s="9"/>
      <c r="EI142" s="9"/>
      <c r="EJ142" s="9"/>
      <c r="EK142" s="9"/>
      <c r="EL142" s="9"/>
      <c r="EM142" s="9"/>
      <c r="EN142" s="9"/>
      <c r="EO142" s="9"/>
      <c r="EP142" s="9"/>
      <c r="EQ142" s="9"/>
      <c r="ER142" s="9"/>
      <c r="ES142" s="9"/>
      <c r="ET142" s="9"/>
      <c r="EU142" s="9"/>
      <c r="EV142" s="9"/>
      <c r="EW142" s="9"/>
      <c r="EX142" s="9"/>
      <c r="EY142" s="9"/>
      <c r="EZ142" s="9"/>
      <c r="FA142" s="9"/>
      <c r="FB142" s="9"/>
      <c r="FC142" s="9"/>
      <c r="FD142" s="9"/>
      <c r="FE142" s="9"/>
      <c r="FF142" s="9"/>
      <c r="FG142" s="9"/>
      <c r="FH142" s="9"/>
      <c r="FI142" s="9"/>
      <c r="FJ142" s="9"/>
      <c r="FK142" s="9"/>
      <c r="FL142" s="9"/>
      <c r="FM142" s="9"/>
      <c r="FN142" s="9"/>
      <c r="FO142" s="9"/>
      <c r="FP142" s="9"/>
      <c r="FQ142" s="9"/>
      <c r="FR142" s="9"/>
      <c r="FS142" s="9"/>
      <c r="FT142" s="9"/>
      <c r="FU142" s="9"/>
      <c r="FV142" s="9"/>
    </row>
    <row r="143" spans="1:178" ht="15.95" customHeight="1" x14ac:dyDescent="0.25">
      <c r="A143" s="164"/>
      <c r="B143" s="116"/>
      <c r="C143" s="118" t="s">
        <v>104</v>
      </c>
      <c r="D143" s="11" t="s">
        <v>107</v>
      </c>
      <c r="E143" s="5" t="s">
        <v>270</v>
      </c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9"/>
      <c r="DP143" s="9"/>
      <c r="DQ143" s="9"/>
      <c r="DR143" s="9"/>
      <c r="DS143" s="9"/>
      <c r="DT143" s="9"/>
      <c r="DU143" s="9"/>
      <c r="DV143" s="9"/>
      <c r="DW143" s="9"/>
      <c r="DX143" s="9"/>
      <c r="DY143" s="9"/>
      <c r="DZ143" s="9"/>
      <c r="EA143" s="9"/>
      <c r="EB143" s="9"/>
      <c r="EC143" s="9"/>
      <c r="ED143" s="9"/>
      <c r="EE143" s="9"/>
      <c r="EF143" s="9"/>
      <c r="EG143" s="9"/>
      <c r="EH143" s="9"/>
      <c r="EI143" s="9"/>
      <c r="EJ143" s="9"/>
      <c r="EK143" s="9"/>
      <c r="EL143" s="9"/>
      <c r="EM143" s="9"/>
      <c r="EN143" s="9"/>
      <c r="EO143" s="9"/>
      <c r="EP143" s="9"/>
      <c r="EQ143" s="9"/>
      <c r="ER143" s="9"/>
      <c r="ES143" s="9"/>
      <c r="ET143" s="9"/>
      <c r="EU143" s="9"/>
      <c r="EV143" s="9"/>
      <c r="EW143" s="9"/>
      <c r="EX143" s="9"/>
      <c r="EY143" s="9"/>
      <c r="EZ143" s="9"/>
      <c r="FA143" s="9"/>
      <c r="FB143" s="9"/>
      <c r="FC143" s="9"/>
      <c r="FD143" s="9"/>
      <c r="FE143" s="9"/>
      <c r="FF143" s="9"/>
      <c r="FG143" s="9"/>
      <c r="FH143" s="9"/>
      <c r="FI143" s="9"/>
      <c r="FJ143" s="9"/>
      <c r="FK143" s="9"/>
      <c r="FL143" s="9"/>
      <c r="FM143" s="9"/>
      <c r="FN143" s="9"/>
      <c r="FO143" s="9"/>
      <c r="FP143" s="9"/>
      <c r="FQ143" s="9"/>
      <c r="FR143" s="9"/>
      <c r="FS143" s="9"/>
      <c r="FT143" s="9"/>
      <c r="FU143" s="9"/>
      <c r="FV143" s="9"/>
    </row>
    <row r="144" spans="1:178" ht="24.95" customHeight="1" x14ac:dyDescent="0.25">
      <c r="A144" s="164"/>
      <c r="B144" s="109"/>
      <c r="C144" s="120"/>
      <c r="D144" s="11" t="s">
        <v>108</v>
      </c>
      <c r="E144" s="5" t="s">
        <v>271</v>
      </c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  <c r="EP144" s="9"/>
      <c r="EQ144" s="9"/>
      <c r="ER144" s="9"/>
      <c r="ES144" s="9"/>
      <c r="ET144" s="9"/>
      <c r="EU144" s="9"/>
      <c r="EV144" s="9"/>
      <c r="EW144" s="9"/>
      <c r="EX144" s="9"/>
      <c r="EY144" s="9"/>
      <c r="EZ144" s="9"/>
      <c r="FA144" s="9"/>
      <c r="FB144" s="9"/>
      <c r="FC144" s="9"/>
      <c r="FD144" s="9"/>
      <c r="FE144" s="9"/>
      <c r="FF144" s="9"/>
      <c r="FG144" s="9"/>
      <c r="FH144" s="9"/>
      <c r="FI144" s="9"/>
      <c r="FJ144" s="9"/>
      <c r="FK144" s="9"/>
      <c r="FL144" s="9"/>
      <c r="FM144" s="9"/>
      <c r="FN144" s="9"/>
      <c r="FO144" s="9"/>
      <c r="FP144" s="9"/>
      <c r="FQ144" s="9"/>
      <c r="FR144" s="9"/>
      <c r="FS144" s="9"/>
      <c r="FT144" s="9"/>
      <c r="FU144" s="9"/>
      <c r="FV144" s="9"/>
    </row>
    <row r="145" spans="1:178" ht="14.1" customHeight="1" x14ac:dyDescent="0.25">
      <c r="A145" s="164"/>
      <c r="B145" s="117" t="s">
        <v>273</v>
      </c>
      <c r="C145" s="5" t="s">
        <v>15</v>
      </c>
      <c r="D145" s="24" t="s">
        <v>18</v>
      </c>
      <c r="E145" s="5" t="s">
        <v>272</v>
      </c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9"/>
      <c r="EP145" s="9"/>
      <c r="EQ145" s="9"/>
      <c r="ER145" s="9"/>
      <c r="ES145" s="9"/>
      <c r="ET145" s="9"/>
      <c r="EU145" s="9"/>
      <c r="EV145" s="9"/>
      <c r="EW145" s="9"/>
      <c r="EX145" s="9"/>
      <c r="EY145" s="9"/>
      <c r="EZ145" s="9"/>
      <c r="FA145" s="9"/>
      <c r="FB145" s="9"/>
      <c r="FC145" s="9"/>
      <c r="FD145" s="9"/>
      <c r="FE145" s="9"/>
      <c r="FF145" s="9"/>
      <c r="FG145" s="9"/>
      <c r="FH145" s="9"/>
      <c r="FI145" s="9"/>
      <c r="FJ145" s="9"/>
      <c r="FK145" s="9"/>
      <c r="FL145" s="9"/>
      <c r="FM145" s="9"/>
      <c r="FN145" s="9"/>
      <c r="FO145" s="9"/>
      <c r="FP145" s="9"/>
      <c r="FQ145" s="9"/>
      <c r="FR145" s="9"/>
      <c r="FS145" s="9"/>
      <c r="FT145" s="9"/>
      <c r="FU145" s="9"/>
      <c r="FV145" s="9"/>
    </row>
    <row r="146" spans="1:178" ht="14.1" customHeight="1" x14ac:dyDescent="0.25">
      <c r="A146" s="164"/>
      <c r="B146" s="116"/>
      <c r="C146" s="5" t="s">
        <v>2</v>
      </c>
      <c r="D146" s="20" t="s">
        <v>20</v>
      </c>
      <c r="E146" s="5" t="s">
        <v>274</v>
      </c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  <c r="DS146" s="9"/>
      <c r="DT146" s="9"/>
      <c r="DU146" s="9"/>
      <c r="DV146" s="9"/>
      <c r="DW146" s="9"/>
      <c r="DX146" s="9"/>
      <c r="DY146" s="9"/>
      <c r="DZ146" s="9"/>
      <c r="EA146" s="9"/>
      <c r="EB146" s="9"/>
      <c r="EC146" s="9"/>
      <c r="ED146" s="9"/>
      <c r="EE146" s="9"/>
      <c r="EF146" s="9"/>
      <c r="EG146" s="9"/>
      <c r="EH146" s="9"/>
      <c r="EI146" s="9"/>
      <c r="EJ146" s="9"/>
      <c r="EK146" s="9"/>
      <c r="EL146" s="9"/>
      <c r="EM146" s="9"/>
      <c r="EN146" s="9"/>
      <c r="EO146" s="9"/>
      <c r="EP146" s="9"/>
      <c r="EQ146" s="9"/>
      <c r="ER146" s="9"/>
      <c r="ES146" s="9"/>
      <c r="ET146" s="9"/>
      <c r="EU146" s="9"/>
      <c r="EV146" s="9"/>
      <c r="EW146" s="9"/>
      <c r="EX146" s="9"/>
      <c r="EY146" s="9"/>
      <c r="EZ146" s="9"/>
      <c r="FA146" s="9"/>
      <c r="FB146" s="9"/>
      <c r="FC146" s="9"/>
      <c r="FD146" s="9"/>
      <c r="FE146" s="9"/>
      <c r="FF146" s="9"/>
      <c r="FG146" s="9"/>
      <c r="FH146" s="9"/>
      <c r="FI146" s="9"/>
      <c r="FJ146" s="9"/>
      <c r="FK146" s="9"/>
      <c r="FL146" s="9"/>
      <c r="FM146" s="9"/>
      <c r="FN146" s="9"/>
      <c r="FO146" s="9"/>
      <c r="FP146" s="9"/>
      <c r="FQ146" s="9"/>
      <c r="FR146" s="9"/>
      <c r="FS146" s="9"/>
      <c r="FT146" s="9"/>
      <c r="FU146" s="9"/>
      <c r="FV146" s="9"/>
    </row>
    <row r="147" spans="1:178" ht="14.1" customHeight="1" x14ac:dyDescent="0.25">
      <c r="A147" s="164"/>
      <c r="B147" s="116"/>
      <c r="C147" s="118" t="s">
        <v>104</v>
      </c>
      <c r="D147" s="11" t="s">
        <v>107</v>
      </c>
      <c r="E147" s="5" t="s">
        <v>275</v>
      </c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9"/>
      <c r="EA147" s="9"/>
      <c r="EB147" s="9"/>
      <c r="EC147" s="9"/>
      <c r="ED147" s="9"/>
      <c r="EE147" s="9"/>
      <c r="EF147" s="9"/>
      <c r="EG147" s="9"/>
      <c r="EH147" s="9"/>
      <c r="EI147" s="9"/>
      <c r="EJ147" s="9"/>
      <c r="EK147" s="9"/>
      <c r="EL147" s="9"/>
      <c r="EM147" s="9"/>
      <c r="EN147" s="9"/>
      <c r="EO147" s="9"/>
      <c r="EP147" s="9"/>
      <c r="EQ147" s="9"/>
      <c r="ER147" s="9"/>
      <c r="ES147" s="9"/>
      <c r="ET147" s="9"/>
      <c r="EU147" s="9"/>
      <c r="EV147" s="9"/>
      <c r="EW147" s="9"/>
      <c r="EX147" s="9"/>
      <c r="EY147" s="9"/>
      <c r="EZ147" s="9"/>
      <c r="FA147" s="9"/>
      <c r="FB147" s="9"/>
      <c r="FC147" s="9"/>
      <c r="FD147" s="9"/>
      <c r="FE147" s="9"/>
      <c r="FF147" s="9"/>
      <c r="FG147" s="9"/>
      <c r="FH147" s="9"/>
      <c r="FI147" s="9"/>
      <c r="FJ147" s="9"/>
      <c r="FK147" s="9"/>
      <c r="FL147" s="9"/>
      <c r="FM147" s="9"/>
      <c r="FN147" s="9"/>
      <c r="FO147" s="9"/>
      <c r="FP147" s="9"/>
      <c r="FQ147" s="9"/>
      <c r="FR147" s="9"/>
      <c r="FS147" s="9"/>
      <c r="FT147" s="9"/>
      <c r="FU147" s="9"/>
      <c r="FV147" s="9"/>
    </row>
    <row r="148" spans="1:178" ht="14.1" customHeight="1" x14ac:dyDescent="0.25">
      <c r="A148" s="164"/>
      <c r="B148" s="109"/>
      <c r="C148" s="120"/>
      <c r="D148" s="11" t="s">
        <v>108</v>
      </c>
      <c r="E148" s="5" t="s">
        <v>276</v>
      </c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  <c r="FI148" s="9"/>
      <c r="FJ148" s="9"/>
      <c r="FK148" s="9"/>
      <c r="FL148" s="9"/>
      <c r="FM148" s="9"/>
      <c r="FN148" s="9"/>
      <c r="FO148" s="9"/>
      <c r="FP148" s="9"/>
      <c r="FQ148" s="9"/>
      <c r="FR148" s="9"/>
      <c r="FS148" s="9"/>
      <c r="FT148" s="9"/>
      <c r="FU148" s="9"/>
      <c r="FV148" s="9"/>
    </row>
    <row r="149" spans="1:178" ht="14.1" customHeight="1" x14ac:dyDescent="0.25">
      <c r="A149" s="164"/>
      <c r="B149" s="117" t="s">
        <v>84</v>
      </c>
      <c r="C149" s="5" t="s">
        <v>105</v>
      </c>
      <c r="D149" s="19" t="s">
        <v>114</v>
      </c>
      <c r="E149" s="5" t="s">
        <v>277</v>
      </c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  <c r="EP149" s="9"/>
      <c r="EQ149" s="9"/>
      <c r="ER149" s="9"/>
      <c r="ES149" s="9"/>
      <c r="ET149" s="9"/>
      <c r="EU149" s="9"/>
      <c r="EV149" s="9"/>
      <c r="EW149" s="9"/>
      <c r="EX149" s="9"/>
      <c r="EY149" s="9"/>
      <c r="EZ149" s="9"/>
      <c r="FA149" s="9"/>
      <c r="FB149" s="9"/>
      <c r="FC149" s="9"/>
      <c r="FD149" s="9"/>
      <c r="FE149" s="9"/>
      <c r="FF149" s="9"/>
      <c r="FG149" s="9"/>
      <c r="FH149" s="9"/>
      <c r="FI149" s="9"/>
      <c r="FJ149" s="9"/>
      <c r="FK149" s="9"/>
      <c r="FL149" s="9"/>
      <c r="FM149" s="9"/>
      <c r="FN149" s="9"/>
      <c r="FO149" s="9"/>
      <c r="FP149" s="9"/>
      <c r="FQ149" s="9"/>
      <c r="FR149" s="9"/>
      <c r="FS149" s="9"/>
      <c r="FT149" s="9"/>
      <c r="FU149" s="9"/>
      <c r="FV149" s="9"/>
    </row>
    <row r="150" spans="1:178" ht="14.1" customHeight="1" thickBot="1" x14ac:dyDescent="0.3">
      <c r="A150" s="165"/>
      <c r="B150" s="166"/>
      <c r="C150" s="6" t="s">
        <v>106</v>
      </c>
      <c r="D150" s="25" t="s">
        <v>115</v>
      </c>
      <c r="E150" s="6" t="s">
        <v>278</v>
      </c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  <c r="EI150" s="9"/>
      <c r="EJ150" s="9"/>
      <c r="EK150" s="9"/>
      <c r="EL150" s="9"/>
      <c r="EM150" s="9"/>
      <c r="EN150" s="9"/>
      <c r="EO150" s="9"/>
      <c r="EP150" s="9"/>
      <c r="EQ150" s="9"/>
      <c r="ER150" s="9"/>
      <c r="ES150" s="9"/>
      <c r="ET150" s="9"/>
      <c r="EU150" s="9"/>
      <c r="EV150" s="9"/>
      <c r="EW150" s="9"/>
      <c r="EX150" s="9"/>
      <c r="EY150" s="9"/>
      <c r="EZ150" s="9"/>
      <c r="FA150" s="9"/>
      <c r="FB150" s="9"/>
      <c r="FC150" s="9"/>
      <c r="FD150" s="9"/>
      <c r="FE150" s="9"/>
      <c r="FF150" s="9"/>
      <c r="FG150" s="9"/>
      <c r="FH150" s="9"/>
      <c r="FI150" s="9"/>
      <c r="FJ150" s="9"/>
      <c r="FK150" s="9"/>
      <c r="FL150" s="9"/>
      <c r="FM150" s="9"/>
      <c r="FN150" s="9"/>
      <c r="FO150" s="9"/>
      <c r="FP150" s="9"/>
      <c r="FQ150" s="9"/>
      <c r="FR150" s="9"/>
      <c r="FS150" s="9"/>
      <c r="FT150" s="9"/>
      <c r="FU150" s="9"/>
      <c r="FV150" s="9"/>
    </row>
    <row r="151" spans="1:178" ht="14.1" customHeight="1" x14ac:dyDescent="0.25">
      <c r="A151" s="121" t="s">
        <v>116</v>
      </c>
      <c r="B151" s="122"/>
      <c r="C151" s="123"/>
      <c r="D151" s="10" t="s">
        <v>118</v>
      </c>
      <c r="E151" s="4" t="s">
        <v>279</v>
      </c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  <c r="EC151" s="9"/>
      <c r="ED151" s="9"/>
      <c r="EE151" s="9"/>
      <c r="EF151" s="9"/>
      <c r="EG151" s="9"/>
      <c r="EH151" s="9"/>
      <c r="EI151" s="9"/>
      <c r="EJ151" s="9"/>
      <c r="EK151" s="9"/>
      <c r="EL151" s="9"/>
      <c r="EM151" s="9"/>
      <c r="EN151" s="9"/>
      <c r="EO151" s="9"/>
      <c r="EP151" s="9"/>
      <c r="EQ151" s="9"/>
      <c r="ER151" s="9"/>
      <c r="ES151" s="9"/>
      <c r="ET151" s="9"/>
      <c r="EU151" s="9"/>
      <c r="EV151" s="9"/>
      <c r="EW151" s="9"/>
      <c r="EX151" s="9"/>
      <c r="EY151" s="9"/>
      <c r="EZ151" s="9"/>
      <c r="FA151" s="9"/>
      <c r="FB151" s="9"/>
      <c r="FC151" s="9"/>
      <c r="FD151" s="9"/>
      <c r="FE151" s="9"/>
      <c r="FF151" s="9"/>
      <c r="FG151" s="9"/>
      <c r="FH151" s="9"/>
      <c r="FI151" s="9"/>
      <c r="FJ151" s="9"/>
      <c r="FK151" s="9"/>
      <c r="FL151" s="9"/>
      <c r="FM151" s="9"/>
      <c r="FN151" s="9"/>
      <c r="FO151" s="9"/>
      <c r="FP151" s="9"/>
      <c r="FQ151" s="9"/>
      <c r="FR151" s="9"/>
      <c r="FS151" s="9"/>
      <c r="FT151" s="9"/>
      <c r="FU151" s="9"/>
      <c r="FV151" s="9"/>
    </row>
    <row r="152" spans="1:178" ht="14.1" customHeight="1" x14ac:dyDescent="0.25">
      <c r="A152" s="124"/>
      <c r="B152" s="125"/>
      <c r="C152" s="126"/>
      <c r="D152" s="11" t="s">
        <v>119</v>
      </c>
      <c r="E152" s="5" t="s">
        <v>280</v>
      </c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  <c r="FI152" s="9"/>
      <c r="FJ152" s="9"/>
      <c r="FK152" s="9"/>
      <c r="FL152" s="9"/>
      <c r="FM152" s="9"/>
      <c r="FN152" s="9"/>
      <c r="FO152" s="9"/>
      <c r="FP152" s="9"/>
      <c r="FQ152" s="9"/>
      <c r="FR152" s="9"/>
      <c r="FS152" s="9"/>
      <c r="FT152" s="9"/>
      <c r="FU152" s="9"/>
      <c r="FV152" s="9"/>
    </row>
    <row r="153" spans="1:178" ht="14.1" customHeight="1" x14ac:dyDescent="0.25">
      <c r="A153" s="124"/>
      <c r="B153" s="125"/>
      <c r="C153" s="126"/>
      <c r="D153" s="11" t="s">
        <v>120</v>
      </c>
      <c r="E153" s="5" t="s">
        <v>281</v>
      </c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9"/>
      <c r="EA153" s="9"/>
      <c r="EB153" s="9"/>
      <c r="EC153" s="9"/>
      <c r="ED153" s="9"/>
      <c r="EE153" s="9"/>
      <c r="EF153" s="9"/>
      <c r="EG153" s="9"/>
      <c r="EH153" s="9"/>
      <c r="EI153" s="9"/>
      <c r="EJ153" s="9"/>
      <c r="EK153" s="9"/>
      <c r="EL153" s="9"/>
      <c r="EM153" s="9"/>
      <c r="EN153" s="9"/>
      <c r="EO153" s="9"/>
      <c r="EP153" s="9"/>
      <c r="EQ153" s="9"/>
      <c r="ER153" s="9"/>
      <c r="ES153" s="9"/>
      <c r="ET153" s="9"/>
      <c r="EU153" s="9"/>
      <c r="EV153" s="9"/>
      <c r="EW153" s="9"/>
      <c r="EX153" s="9"/>
      <c r="EY153" s="9"/>
      <c r="EZ153" s="9"/>
      <c r="FA153" s="9"/>
      <c r="FB153" s="9"/>
      <c r="FC153" s="9"/>
      <c r="FD153" s="9"/>
      <c r="FE153" s="9"/>
      <c r="FF153" s="9"/>
      <c r="FG153" s="9"/>
      <c r="FH153" s="9"/>
      <c r="FI153" s="9"/>
      <c r="FJ153" s="9"/>
      <c r="FK153" s="9"/>
      <c r="FL153" s="9"/>
      <c r="FM153" s="9"/>
      <c r="FN153" s="9"/>
      <c r="FO153" s="9"/>
      <c r="FP153" s="9"/>
      <c r="FQ153" s="9"/>
      <c r="FR153" s="9"/>
      <c r="FS153" s="9"/>
      <c r="FT153" s="9"/>
      <c r="FU153" s="9"/>
      <c r="FV153" s="9"/>
    </row>
    <row r="154" spans="1:178" ht="14.1" customHeight="1" x14ac:dyDescent="0.25">
      <c r="A154" s="124"/>
      <c r="B154" s="125"/>
      <c r="C154" s="126"/>
      <c r="D154" s="11" t="s">
        <v>121</v>
      </c>
      <c r="E154" s="5" t="s">
        <v>282</v>
      </c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9"/>
      <c r="EA154" s="9"/>
      <c r="EB154" s="9"/>
      <c r="EC154" s="9"/>
      <c r="ED154" s="9"/>
      <c r="EE154" s="9"/>
      <c r="EF154" s="9"/>
      <c r="EG154" s="9"/>
      <c r="EH154" s="9"/>
      <c r="EI154" s="9"/>
      <c r="EJ154" s="9"/>
      <c r="EK154" s="9"/>
      <c r="EL154" s="9"/>
      <c r="EM154" s="9"/>
      <c r="EN154" s="9"/>
      <c r="EO154" s="9"/>
      <c r="EP154" s="9"/>
      <c r="EQ154" s="9"/>
      <c r="ER154" s="9"/>
      <c r="ES154" s="9"/>
      <c r="ET154" s="9"/>
      <c r="EU154" s="9"/>
      <c r="EV154" s="9"/>
      <c r="EW154" s="9"/>
      <c r="EX154" s="9"/>
      <c r="EY154" s="9"/>
      <c r="EZ154" s="9"/>
      <c r="FA154" s="9"/>
      <c r="FB154" s="9"/>
      <c r="FC154" s="9"/>
      <c r="FD154" s="9"/>
      <c r="FE154" s="9"/>
      <c r="FF154" s="9"/>
      <c r="FG154" s="9"/>
      <c r="FH154" s="9"/>
      <c r="FI154" s="9"/>
      <c r="FJ154" s="9"/>
      <c r="FK154" s="9"/>
      <c r="FL154" s="9"/>
      <c r="FM154" s="9"/>
      <c r="FN154" s="9"/>
      <c r="FO154" s="9"/>
      <c r="FP154" s="9"/>
      <c r="FQ154" s="9"/>
      <c r="FR154" s="9"/>
      <c r="FS154" s="9"/>
      <c r="FT154" s="9"/>
      <c r="FU154" s="9"/>
      <c r="FV154" s="9"/>
    </row>
    <row r="155" spans="1:178" ht="14.1" customHeight="1" x14ac:dyDescent="0.25">
      <c r="A155" s="124"/>
      <c r="B155" s="125"/>
      <c r="C155" s="126"/>
      <c r="D155" s="11" t="s">
        <v>122</v>
      </c>
      <c r="E155" s="5" t="s">
        <v>283</v>
      </c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9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9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9"/>
      <c r="FH155" s="9"/>
      <c r="FI155" s="9"/>
      <c r="FJ155" s="9"/>
      <c r="FK155" s="9"/>
      <c r="FL155" s="9"/>
      <c r="FM155" s="9"/>
      <c r="FN155" s="9"/>
      <c r="FO155" s="9"/>
      <c r="FP155" s="9"/>
      <c r="FQ155" s="9"/>
      <c r="FR155" s="9"/>
      <c r="FS155" s="9"/>
      <c r="FT155" s="9"/>
      <c r="FU155" s="9"/>
      <c r="FV155" s="9"/>
    </row>
    <row r="156" spans="1:178" ht="14.1" customHeight="1" x14ac:dyDescent="0.25">
      <c r="A156" s="124"/>
      <c r="B156" s="125"/>
      <c r="C156" s="126"/>
      <c r="D156" s="11" t="s">
        <v>123</v>
      </c>
      <c r="E156" s="5" t="s">
        <v>284</v>
      </c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  <c r="EU156" s="9"/>
      <c r="EV156" s="9"/>
      <c r="EW156" s="9"/>
      <c r="EX156" s="9"/>
      <c r="EY156" s="9"/>
      <c r="EZ156" s="9"/>
      <c r="FA156" s="9"/>
      <c r="FB156" s="9"/>
      <c r="FC156" s="9"/>
      <c r="FD156" s="9"/>
      <c r="FE156" s="9"/>
      <c r="FF156" s="9"/>
      <c r="FG156" s="9"/>
      <c r="FH156" s="9"/>
      <c r="FI156" s="9"/>
      <c r="FJ156" s="9"/>
      <c r="FK156" s="9"/>
      <c r="FL156" s="9"/>
      <c r="FM156" s="9"/>
      <c r="FN156" s="9"/>
      <c r="FO156" s="9"/>
      <c r="FP156" s="9"/>
      <c r="FQ156" s="9"/>
      <c r="FR156" s="9"/>
      <c r="FS156" s="9"/>
      <c r="FT156" s="9"/>
      <c r="FU156" s="9"/>
      <c r="FV156" s="9"/>
    </row>
    <row r="157" spans="1:178" ht="14.1" customHeight="1" x14ac:dyDescent="0.25">
      <c r="A157" s="124"/>
      <c r="B157" s="125"/>
      <c r="C157" s="126"/>
      <c r="D157" s="11" t="s">
        <v>124</v>
      </c>
      <c r="E157" s="5" t="s">
        <v>285</v>
      </c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  <c r="EU157" s="9"/>
      <c r="EV157" s="9"/>
      <c r="EW157" s="9"/>
      <c r="EX157" s="9"/>
      <c r="EY157" s="9"/>
      <c r="EZ157" s="9"/>
      <c r="FA157" s="9"/>
      <c r="FB157" s="9"/>
      <c r="FC157" s="9"/>
      <c r="FD157" s="9"/>
      <c r="FE157" s="9"/>
      <c r="FF157" s="9"/>
      <c r="FG157" s="9"/>
      <c r="FH157" s="9"/>
      <c r="FI157" s="9"/>
      <c r="FJ157" s="9"/>
      <c r="FK157" s="9"/>
      <c r="FL157" s="9"/>
      <c r="FM157" s="9"/>
      <c r="FN157" s="9"/>
      <c r="FO157" s="9"/>
      <c r="FP157" s="9"/>
      <c r="FQ157" s="9"/>
      <c r="FR157" s="9"/>
      <c r="FS157" s="9"/>
      <c r="FT157" s="9"/>
      <c r="FU157" s="9"/>
      <c r="FV157" s="9"/>
    </row>
    <row r="158" spans="1:178" ht="14.1" customHeight="1" x14ac:dyDescent="0.25">
      <c r="A158" s="124"/>
      <c r="B158" s="125"/>
      <c r="C158" s="126"/>
      <c r="D158" s="11" t="s">
        <v>125</v>
      </c>
      <c r="E158" s="5" t="s">
        <v>286</v>
      </c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  <c r="EU158" s="9"/>
      <c r="EV158" s="9"/>
      <c r="EW158" s="9"/>
      <c r="EX158" s="9"/>
      <c r="EY158" s="9"/>
      <c r="EZ158" s="9"/>
      <c r="FA158" s="9"/>
      <c r="FB158" s="9"/>
      <c r="FC158" s="9"/>
      <c r="FD158" s="9"/>
      <c r="FE158" s="9"/>
      <c r="FF158" s="9"/>
      <c r="FG158" s="9"/>
      <c r="FH158" s="9"/>
      <c r="FI158" s="9"/>
      <c r="FJ158" s="9"/>
      <c r="FK158" s="9"/>
      <c r="FL158" s="9"/>
      <c r="FM158" s="9"/>
      <c r="FN158" s="9"/>
      <c r="FO158" s="9"/>
      <c r="FP158" s="9"/>
      <c r="FQ158" s="9"/>
      <c r="FR158" s="9"/>
      <c r="FS158" s="9"/>
      <c r="FT158" s="9"/>
      <c r="FU158" s="9"/>
      <c r="FV158" s="9"/>
    </row>
    <row r="159" spans="1:178" ht="14.1" customHeight="1" x14ac:dyDescent="0.25">
      <c r="A159" s="124"/>
      <c r="B159" s="125"/>
      <c r="C159" s="126"/>
      <c r="D159" s="11" t="s">
        <v>126</v>
      </c>
      <c r="E159" s="5" t="s">
        <v>287</v>
      </c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9"/>
      <c r="EA159" s="9"/>
      <c r="EB159" s="9"/>
      <c r="EC159" s="9"/>
      <c r="ED159" s="9"/>
      <c r="EE159" s="9"/>
      <c r="EF159" s="9"/>
      <c r="EG159" s="9"/>
      <c r="EH159" s="9"/>
      <c r="EI159" s="9"/>
      <c r="EJ159" s="9"/>
      <c r="EK159" s="9"/>
      <c r="EL159" s="9"/>
      <c r="EM159" s="9"/>
      <c r="EN159" s="9"/>
      <c r="EO159" s="9"/>
      <c r="EP159" s="9"/>
      <c r="EQ159" s="9"/>
      <c r="ER159" s="9"/>
      <c r="ES159" s="9"/>
      <c r="ET159" s="9"/>
      <c r="EU159" s="9"/>
      <c r="EV159" s="9"/>
      <c r="EW159" s="9"/>
      <c r="EX159" s="9"/>
      <c r="EY159" s="9"/>
      <c r="EZ159" s="9"/>
      <c r="FA159" s="9"/>
      <c r="FB159" s="9"/>
      <c r="FC159" s="9"/>
      <c r="FD159" s="9"/>
      <c r="FE159" s="9"/>
      <c r="FF159" s="9"/>
      <c r="FG159" s="9"/>
      <c r="FH159" s="9"/>
      <c r="FI159" s="9"/>
      <c r="FJ159" s="9"/>
      <c r="FK159" s="9"/>
      <c r="FL159" s="9"/>
      <c r="FM159" s="9"/>
      <c r="FN159" s="9"/>
      <c r="FO159" s="9"/>
      <c r="FP159" s="9"/>
      <c r="FQ159" s="9"/>
      <c r="FR159" s="9"/>
      <c r="FS159" s="9"/>
      <c r="FT159" s="9"/>
      <c r="FU159" s="9"/>
      <c r="FV159" s="9"/>
    </row>
    <row r="160" spans="1:178" s="15" customFormat="1" ht="14.1" customHeight="1" x14ac:dyDescent="0.2">
      <c r="A160" s="124"/>
      <c r="B160" s="125"/>
      <c r="C160" s="126"/>
      <c r="D160" s="11" t="s">
        <v>127</v>
      </c>
      <c r="E160" s="5" t="s">
        <v>288</v>
      </c>
    </row>
    <row r="161" spans="1:178" s="15" customFormat="1" ht="14.1" customHeight="1" x14ac:dyDescent="0.2">
      <c r="A161" s="124"/>
      <c r="B161" s="125"/>
      <c r="C161" s="126"/>
      <c r="D161" s="11" t="s">
        <v>128</v>
      </c>
      <c r="E161" s="5" t="s">
        <v>289</v>
      </c>
    </row>
    <row r="162" spans="1:178" ht="14.1" customHeight="1" x14ac:dyDescent="0.25">
      <c r="A162" s="124"/>
      <c r="B162" s="125"/>
      <c r="C162" s="126"/>
      <c r="D162" s="11" t="s">
        <v>129</v>
      </c>
      <c r="E162" s="5" t="s">
        <v>290</v>
      </c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  <c r="DS162" s="9"/>
      <c r="DT162" s="9"/>
      <c r="DU162" s="9"/>
      <c r="DV162" s="9"/>
      <c r="DW162" s="9"/>
      <c r="DX162" s="9"/>
      <c r="DY162" s="9"/>
      <c r="DZ162" s="9"/>
      <c r="EA162" s="9"/>
      <c r="EB162" s="9"/>
      <c r="EC162" s="9"/>
      <c r="ED162" s="9"/>
      <c r="EE162" s="9"/>
      <c r="EF162" s="9"/>
      <c r="EG162" s="9"/>
      <c r="EH162" s="9"/>
      <c r="EI162" s="9"/>
      <c r="EJ162" s="9"/>
      <c r="EK162" s="9"/>
      <c r="EL162" s="9"/>
      <c r="EM162" s="9"/>
      <c r="EN162" s="9"/>
      <c r="EO162" s="9"/>
      <c r="EP162" s="9"/>
      <c r="EQ162" s="9"/>
      <c r="ER162" s="9"/>
      <c r="ES162" s="9"/>
      <c r="ET162" s="9"/>
      <c r="EU162" s="9"/>
      <c r="EV162" s="9"/>
      <c r="EW162" s="9"/>
      <c r="EX162" s="9"/>
      <c r="EY162" s="9"/>
      <c r="EZ162" s="9"/>
      <c r="FA162" s="9"/>
      <c r="FB162" s="9"/>
      <c r="FC162" s="9"/>
      <c r="FD162" s="9"/>
      <c r="FE162" s="9"/>
      <c r="FF162" s="9"/>
      <c r="FG162" s="9"/>
      <c r="FH162" s="9"/>
      <c r="FI162" s="9"/>
      <c r="FJ162" s="9"/>
      <c r="FK162" s="9"/>
      <c r="FL162" s="9"/>
      <c r="FM162" s="9"/>
      <c r="FN162" s="9"/>
      <c r="FO162" s="9"/>
      <c r="FP162" s="9"/>
      <c r="FQ162" s="9"/>
      <c r="FR162" s="9"/>
      <c r="FS162" s="9"/>
      <c r="FT162" s="9"/>
      <c r="FU162" s="9"/>
      <c r="FV162" s="9"/>
    </row>
    <row r="163" spans="1:178" ht="14.1" customHeight="1" x14ac:dyDescent="0.25">
      <c r="A163" s="124"/>
      <c r="B163" s="125"/>
      <c r="C163" s="126"/>
      <c r="D163" s="11" t="s">
        <v>130</v>
      </c>
      <c r="E163" s="5" t="s">
        <v>291</v>
      </c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9"/>
      <c r="DP163" s="9"/>
      <c r="DQ163" s="9"/>
      <c r="DR163" s="9"/>
      <c r="DS163" s="9"/>
      <c r="DT163" s="9"/>
      <c r="DU163" s="9"/>
      <c r="DV163" s="9"/>
      <c r="DW163" s="9"/>
      <c r="DX163" s="9"/>
      <c r="DY163" s="9"/>
      <c r="DZ163" s="9"/>
      <c r="EA163" s="9"/>
      <c r="EB163" s="9"/>
      <c r="EC163" s="9"/>
      <c r="ED163" s="9"/>
      <c r="EE163" s="9"/>
      <c r="EF163" s="9"/>
      <c r="EG163" s="9"/>
      <c r="EH163" s="9"/>
      <c r="EI163" s="9"/>
      <c r="EJ163" s="9"/>
      <c r="EK163" s="9"/>
      <c r="EL163" s="9"/>
      <c r="EM163" s="9"/>
      <c r="EN163" s="9"/>
      <c r="EO163" s="9"/>
      <c r="EP163" s="9"/>
      <c r="EQ163" s="9"/>
      <c r="ER163" s="9"/>
      <c r="ES163" s="9"/>
      <c r="ET163" s="9"/>
      <c r="EU163" s="9"/>
      <c r="EV163" s="9"/>
      <c r="EW163" s="9"/>
      <c r="EX163" s="9"/>
      <c r="EY163" s="9"/>
      <c r="EZ163" s="9"/>
      <c r="FA163" s="9"/>
      <c r="FB163" s="9"/>
      <c r="FC163" s="9"/>
      <c r="FD163" s="9"/>
      <c r="FE163" s="9"/>
      <c r="FF163" s="9"/>
      <c r="FG163" s="9"/>
      <c r="FH163" s="9"/>
      <c r="FI163" s="9"/>
      <c r="FJ163" s="9"/>
      <c r="FK163" s="9"/>
      <c r="FL163" s="9"/>
      <c r="FM163" s="9"/>
      <c r="FN163" s="9"/>
      <c r="FO163" s="9"/>
      <c r="FP163" s="9"/>
      <c r="FQ163" s="9"/>
      <c r="FR163" s="9"/>
      <c r="FS163" s="9"/>
      <c r="FT163" s="9"/>
      <c r="FU163" s="9"/>
      <c r="FV163" s="9"/>
    </row>
    <row r="164" spans="1:178" ht="14.1" customHeight="1" x14ac:dyDescent="0.25">
      <c r="A164" s="124"/>
      <c r="B164" s="125"/>
      <c r="C164" s="126"/>
      <c r="D164" s="11" t="s">
        <v>131</v>
      </c>
      <c r="E164" s="5" t="s">
        <v>292</v>
      </c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9"/>
      <c r="DP164" s="9"/>
      <c r="DQ164" s="9"/>
      <c r="DR164" s="9"/>
      <c r="DS164" s="9"/>
      <c r="DT164" s="9"/>
      <c r="DU164" s="9"/>
      <c r="DV164" s="9"/>
      <c r="DW164" s="9"/>
      <c r="DX164" s="9"/>
      <c r="DY164" s="9"/>
      <c r="DZ164" s="9"/>
      <c r="EA164" s="9"/>
      <c r="EB164" s="9"/>
      <c r="EC164" s="9"/>
      <c r="ED164" s="9"/>
      <c r="EE164" s="9"/>
      <c r="EF164" s="9"/>
      <c r="EG164" s="9"/>
      <c r="EH164" s="9"/>
      <c r="EI164" s="9"/>
      <c r="EJ164" s="9"/>
      <c r="EK164" s="9"/>
      <c r="EL164" s="9"/>
      <c r="EM164" s="9"/>
      <c r="EN164" s="9"/>
      <c r="EO164" s="9"/>
      <c r="EP164" s="9"/>
      <c r="EQ164" s="9"/>
      <c r="ER164" s="9"/>
      <c r="ES164" s="9"/>
      <c r="ET164" s="9"/>
      <c r="EU164" s="9"/>
      <c r="EV164" s="9"/>
      <c r="EW164" s="9"/>
      <c r="EX164" s="9"/>
      <c r="EY164" s="9"/>
      <c r="EZ164" s="9"/>
      <c r="FA164" s="9"/>
      <c r="FB164" s="9"/>
      <c r="FC164" s="9"/>
      <c r="FD164" s="9"/>
      <c r="FE164" s="9"/>
      <c r="FF164" s="9"/>
      <c r="FG164" s="9"/>
      <c r="FH164" s="9"/>
      <c r="FI164" s="9"/>
      <c r="FJ164" s="9"/>
      <c r="FK164" s="9"/>
      <c r="FL164" s="9"/>
      <c r="FM164" s="9"/>
      <c r="FN164" s="9"/>
      <c r="FO164" s="9"/>
      <c r="FP164" s="9"/>
      <c r="FQ164" s="9"/>
      <c r="FR164" s="9"/>
      <c r="FS164" s="9"/>
      <c r="FT164" s="9"/>
      <c r="FU164" s="9"/>
      <c r="FV164" s="9"/>
    </row>
    <row r="165" spans="1:178" ht="14.1" customHeight="1" x14ac:dyDescent="0.25">
      <c r="A165" s="124"/>
      <c r="B165" s="125"/>
      <c r="C165" s="126"/>
      <c r="D165" s="11" t="s">
        <v>132</v>
      </c>
      <c r="E165" s="5" t="s">
        <v>293</v>
      </c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9"/>
      <c r="EA165" s="9"/>
      <c r="EB165" s="9"/>
      <c r="EC165" s="9"/>
      <c r="ED165" s="9"/>
      <c r="EE165" s="9"/>
      <c r="EF165" s="9"/>
      <c r="EG165" s="9"/>
      <c r="EH165" s="9"/>
      <c r="EI165" s="9"/>
      <c r="EJ165" s="9"/>
      <c r="EK165" s="9"/>
      <c r="EL165" s="9"/>
      <c r="EM165" s="9"/>
      <c r="EN165" s="9"/>
      <c r="EO165" s="9"/>
      <c r="EP165" s="9"/>
      <c r="EQ165" s="9"/>
      <c r="ER165" s="9"/>
      <c r="ES165" s="9"/>
      <c r="ET165" s="9"/>
      <c r="EU165" s="9"/>
      <c r="EV165" s="9"/>
      <c r="EW165" s="9"/>
      <c r="EX165" s="9"/>
      <c r="EY165" s="9"/>
      <c r="EZ165" s="9"/>
      <c r="FA165" s="9"/>
      <c r="FB165" s="9"/>
      <c r="FC165" s="9"/>
      <c r="FD165" s="9"/>
      <c r="FE165" s="9"/>
      <c r="FF165" s="9"/>
      <c r="FG165" s="9"/>
      <c r="FH165" s="9"/>
      <c r="FI165" s="9"/>
      <c r="FJ165" s="9"/>
      <c r="FK165" s="9"/>
      <c r="FL165" s="9"/>
      <c r="FM165" s="9"/>
      <c r="FN165" s="9"/>
      <c r="FO165" s="9"/>
      <c r="FP165" s="9"/>
      <c r="FQ165" s="9"/>
      <c r="FR165" s="9"/>
      <c r="FS165" s="9"/>
      <c r="FT165" s="9"/>
      <c r="FU165" s="9"/>
      <c r="FV165" s="9"/>
    </row>
    <row r="166" spans="1:178" ht="14.1" customHeight="1" x14ac:dyDescent="0.25">
      <c r="A166" s="124"/>
      <c r="B166" s="125"/>
      <c r="C166" s="126"/>
      <c r="D166" s="11" t="s">
        <v>133</v>
      </c>
      <c r="E166" s="5" t="s">
        <v>294</v>
      </c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9"/>
      <c r="DP166" s="9"/>
      <c r="DQ166" s="9"/>
      <c r="DR166" s="9"/>
      <c r="DS166" s="9"/>
      <c r="DT166" s="9"/>
      <c r="DU166" s="9"/>
      <c r="DV166" s="9"/>
      <c r="DW166" s="9"/>
      <c r="DX166" s="9"/>
      <c r="DY166" s="9"/>
      <c r="DZ166" s="9"/>
      <c r="EA166" s="9"/>
      <c r="EB166" s="9"/>
      <c r="EC166" s="9"/>
      <c r="ED166" s="9"/>
      <c r="EE166" s="9"/>
      <c r="EF166" s="9"/>
      <c r="EG166" s="9"/>
      <c r="EH166" s="9"/>
      <c r="EI166" s="9"/>
      <c r="EJ166" s="9"/>
      <c r="EK166" s="9"/>
      <c r="EL166" s="9"/>
      <c r="EM166" s="9"/>
      <c r="EN166" s="9"/>
      <c r="EO166" s="9"/>
      <c r="EP166" s="9"/>
      <c r="EQ166" s="9"/>
      <c r="ER166" s="9"/>
      <c r="ES166" s="9"/>
      <c r="ET166" s="9"/>
      <c r="EU166" s="9"/>
      <c r="EV166" s="9"/>
      <c r="EW166" s="9"/>
      <c r="EX166" s="9"/>
      <c r="EY166" s="9"/>
      <c r="EZ166" s="9"/>
      <c r="FA166" s="9"/>
      <c r="FB166" s="9"/>
      <c r="FC166" s="9"/>
      <c r="FD166" s="9"/>
      <c r="FE166" s="9"/>
      <c r="FF166" s="9"/>
      <c r="FG166" s="9"/>
      <c r="FH166" s="9"/>
      <c r="FI166" s="9"/>
      <c r="FJ166" s="9"/>
      <c r="FK166" s="9"/>
      <c r="FL166" s="9"/>
      <c r="FM166" s="9"/>
      <c r="FN166" s="9"/>
      <c r="FO166" s="9"/>
      <c r="FP166" s="9"/>
      <c r="FQ166" s="9"/>
      <c r="FR166" s="9"/>
      <c r="FS166" s="9"/>
      <c r="FT166" s="9"/>
      <c r="FU166" s="9"/>
      <c r="FV166" s="9"/>
    </row>
    <row r="167" spans="1:178" ht="14.1" customHeight="1" x14ac:dyDescent="0.25">
      <c r="A167" s="124"/>
      <c r="B167" s="125"/>
      <c r="C167" s="126"/>
      <c r="D167" s="11" t="s">
        <v>134</v>
      </c>
      <c r="E167" s="5" t="s">
        <v>295</v>
      </c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  <c r="EA167" s="9"/>
      <c r="EB167" s="9"/>
      <c r="EC167" s="9"/>
      <c r="ED167" s="9"/>
      <c r="EE167" s="9"/>
      <c r="EF167" s="9"/>
      <c r="EG167" s="9"/>
      <c r="EH167" s="9"/>
      <c r="EI167" s="9"/>
      <c r="EJ167" s="9"/>
      <c r="EK167" s="9"/>
      <c r="EL167" s="9"/>
      <c r="EM167" s="9"/>
      <c r="EN167" s="9"/>
      <c r="EO167" s="9"/>
      <c r="EP167" s="9"/>
      <c r="EQ167" s="9"/>
      <c r="ER167" s="9"/>
      <c r="ES167" s="9"/>
      <c r="ET167" s="9"/>
      <c r="EU167" s="9"/>
      <c r="EV167" s="9"/>
      <c r="EW167" s="9"/>
      <c r="EX167" s="9"/>
      <c r="EY167" s="9"/>
      <c r="EZ167" s="9"/>
      <c r="FA167" s="9"/>
      <c r="FB167" s="9"/>
      <c r="FC167" s="9"/>
      <c r="FD167" s="9"/>
      <c r="FE167" s="9"/>
      <c r="FF167" s="9"/>
      <c r="FG167" s="9"/>
      <c r="FH167" s="9"/>
      <c r="FI167" s="9"/>
      <c r="FJ167" s="9"/>
      <c r="FK167" s="9"/>
      <c r="FL167" s="9"/>
      <c r="FM167" s="9"/>
      <c r="FN167" s="9"/>
      <c r="FO167" s="9"/>
      <c r="FP167" s="9"/>
      <c r="FQ167" s="9"/>
      <c r="FR167" s="9"/>
      <c r="FS167" s="9"/>
      <c r="FT167" s="9"/>
      <c r="FU167" s="9"/>
      <c r="FV167" s="9"/>
    </row>
    <row r="168" spans="1:178" ht="14.1" customHeight="1" x14ac:dyDescent="0.25">
      <c r="A168" s="124"/>
      <c r="B168" s="125"/>
      <c r="C168" s="126"/>
      <c r="D168" s="11" t="s">
        <v>135</v>
      </c>
      <c r="E168" s="5" t="s">
        <v>296</v>
      </c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</row>
    <row r="169" spans="1:178" ht="14.1" customHeight="1" x14ac:dyDescent="0.25">
      <c r="A169" s="124"/>
      <c r="B169" s="125"/>
      <c r="C169" s="126"/>
      <c r="D169" s="11" t="s">
        <v>118</v>
      </c>
      <c r="E169" s="5" t="s">
        <v>297</v>
      </c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</row>
    <row r="170" spans="1:178" ht="14.1" customHeight="1" x14ac:dyDescent="0.25">
      <c r="A170" s="124"/>
      <c r="B170" s="125"/>
      <c r="C170" s="126"/>
      <c r="D170" s="11" t="s">
        <v>119</v>
      </c>
      <c r="E170" s="5" t="s">
        <v>298</v>
      </c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</row>
    <row r="171" spans="1:178" ht="14.1" customHeight="1" x14ac:dyDescent="0.25">
      <c r="A171" s="124"/>
      <c r="B171" s="125"/>
      <c r="C171" s="126"/>
      <c r="D171" s="11" t="s">
        <v>120</v>
      </c>
      <c r="E171" s="5" t="s">
        <v>299</v>
      </c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</row>
    <row r="172" spans="1:178" ht="14.1" customHeight="1" x14ac:dyDescent="0.25">
      <c r="A172" s="124"/>
      <c r="B172" s="125"/>
      <c r="C172" s="126"/>
      <c r="D172" s="11" t="s">
        <v>121</v>
      </c>
      <c r="E172" s="5" t="s">
        <v>300</v>
      </c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</row>
    <row r="173" spans="1:178" ht="14.1" customHeight="1" x14ac:dyDescent="0.25">
      <c r="A173" s="124"/>
      <c r="B173" s="125"/>
      <c r="C173" s="126"/>
      <c r="D173" s="11" t="s">
        <v>122</v>
      </c>
      <c r="E173" s="5" t="s">
        <v>301</v>
      </c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</row>
    <row r="174" spans="1:178" ht="14.1" customHeight="1" x14ac:dyDescent="0.25">
      <c r="A174" s="124"/>
      <c r="B174" s="125"/>
      <c r="C174" s="126"/>
      <c r="D174" s="11" t="s">
        <v>123</v>
      </c>
      <c r="E174" s="5" t="s">
        <v>302</v>
      </c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</row>
    <row r="175" spans="1:178" ht="14.1" customHeight="1" x14ac:dyDescent="0.25">
      <c r="A175" s="124"/>
      <c r="B175" s="125"/>
      <c r="C175" s="126"/>
      <c r="D175" s="11" t="s">
        <v>124</v>
      </c>
      <c r="E175" s="5" t="s">
        <v>303</v>
      </c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</row>
    <row r="176" spans="1:178" ht="14.1" customHeight="1" x14ac:dyDescent="0.25">
      <c r="A176" s="124"/>
      <c r="B176" s="125"/>
      <c r="C176" s="126"/>
      <c r="D176" s="11" t="s">
        <v>125</v>
      </c>
      <c r="E176" s="5" t="s">
        <v>304</v>
      </c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</row>
    <row r="177" spans="1:89" ht="14.1" customHeight="1" x14ac:dyDescent="0.25">
      <c r="A177" s="124"/>
      <c r="B177" s="125"/>
      <c r="C177" s="126"/>
      <c r="D177" s="11" t="s">
        <v>126</v>
      </c>
      <c r="E177" s="5" t="s">
        <v>305</v>
      </c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</row>
    <row r="178" spans="1:89" ht="14.1" customHeight="1" x14ac:dyDescent="0.25">
      <c r="A178" s="124"/>
      <c r="B178" s="125"/>
      <c r="C178" s="126"/>
      <c r="D178" s="11" t="s">
        <v>127</v>
      </c>
      <c r="E178" s="5" t="s">
        <v>306</v>
      </c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</row>
    <row r="179" spans="1:89" ht="14.1" customHeight="1" x14ac:dyDescent="0.25">
      <c r="A179" s="124"/>
      <c r="B179" s="125"/>
      <c r="C179" s="126"/>
      <c r="D179" s="11" t="s">
        <v>128</v>
      </c>
      <c r="E179" s="5" t="s">
        <v>307</v>
      </c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</row>
    <row r="180" spans="1:89" ht="14.1" customHeight="1" x14ac:dyDescent="0.25">
      <c r="A180" s="124"/>
      <c r="B180" s="125"/>
      <c r="C180" s="126"/>
      <c r="D180" s="11" t="s">
        <v>129</v>
      </c>
      <c r="E180" s="5" t="s">
        <v>308</v>
      </c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</row>
    <row r="181" spans="1:89" ht="14.1" customHeight="1" x14ac:dyDescent="0.25">
      <c r="A181" s="124"/>
      <c r="B181" s="125"/>
      <c r="C181" s="126"/>
      <c r="D181" s="11" t="s">
        <v>130</v>
      </c>
      <c r="E181" s="5" t="s">
        <v>309</v>
      </c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</row>
    <row r="182" spans="1:89" ht="14.1" customHeight="1" x14ac:dyDescent="0.25">
      <c r="A182" s="124"/>
      <c r="B182" s="125"/>
      <c r="C182" s="126"/>
      <c r="D182" s="11" t="s">
        <v>131</v>
      </c>
      <c r="E182" s="5" t="s">
        <v>310</v>
      </c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</row>
    <row r="183" spans="1:89" ht="14.1" customHeight="1" x14ac:dyDescent="0.25">
      <c r="A183" s="124"/>
      <c r="B183" s="125"/>
      <c r="C183" s="126"/>
      <c r="D183" s="11" t="s">
        <v>132</v>
      </c>
      <c r="E183" s="5" t="s">
        <v>311</v>
      </c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</row>
    <row r="184" spans="1:89" ht="14.1" customHeight="1" x14ac:dyDescent="0.25">
      <c r="A184" s="124"/>
      <c r="B184" s="125"/>
      <c r="C184" s="126"/>
      <c r="D184" s="11" t="s">
        <v>133</v>
      </c>
      <c r="E184" s="5" t="s">
        <v>312</v>
      </c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</row>
    <row r="185" spans="1:89" ht="14.1" customHeight="1" x14ac:dyDescent="0.25">
      <c r="A185" s="124"/>
      <c r="B185" s="125"/>
      <c r="C185" s="126"/>
      <c r="D185" s="11" t="s">
        <v>134</v>
      </c>
      <c r="E185" s="5" t="s">
        <v>313</v>
      </c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</row>
    <row r="186" spans="1:89" ht="14.1" customHeight="1" thickBot="1" x14ac:dyDescent="0.3">
      <c r="A186" s="127"/>
      <c r="B186" s="128"/>
      <c r="C186" s="129"/>
      <c r="D186" s="12" t="s">
        <v>135</v>
      </c>
      <c r="E186" s="6" t="s">
        <v>314</v>
      </c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</row>
    <row r="187" spans="1:89" ht="14.1" customHeight="1" x14ac:dyDescent="0.25">
      <c r="A187" s="81" t="s">
        <v>137</v>
      </c>
      <c r="B187" s="82"/>
      <c r="C187" s="83"/>
      <c r="D187" s="10" t="s">
        <v>138</v>
      </c>
      <c r="E187" s="4" t="s">
        <v>315</v>
      </c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</row>
    <row r="188" spans="1:89" ht="14.1" customHeight="1" x14ac:dyDescent="0.25">
      <c r="A188" s="84"/>
      <c r="B188" s="85"/>
      <c r="C188" s="86"/>
      <c r="D188" s="11" t="s">
        <v>139</v>
      </c>
      <c r="E188" s="5" t="s">
        <v>316</v>
      </c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</row>
    <row r="189" spans="1:89" ht="14.1" customHeight="1" x14ac:dyDescent="0.25">
      <c r="A189" s="84"/>
      <c r="B189" s="85"/>
      <c r="C189" s="86"/>
      <c r="D189" s="11" t="s">
        <v>140</v>
      </c>
      <c r="E189" s="5" t="s">
        <v>317</v>
      </c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</row>
    <row r="190" spans="1:89" ht="14.1" customHeight="1" x14ac:dyDescent="0.25">
      <c r="A190" s="84"/>
      <c r="B190" s="85"/>
      <c r="C190" s="86"/>
      <c r="D190" s="11" t="s">
        <v>141</v>
      </c>
      <c r="E190" s="5" t="s">
        <v>318</v>
      </c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</row>
    <row r="191" spans="1:89" ht="14.1" customHeight="1" x14ac:dyDescent="0.25">
      <c r="A191" s="84"/>
      <c r="B191" s="85"/>
      <c r="C191" s="86"/>
      <c r="D191" s="11" t="s">
        <v>142</v>
      </c>
      <c r="E191" s="5" t="s">
        <v>319</v>
      </c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</row>
    <row r="192" spans="1:89" ht="14.1" customHeight="1" x14ac:dyDescent="0.25">
      <c r="A192" s="84"/>
      <c r="B192" s="85"/>
      <c r="C192" s="86"/>
      <c r="D192" s="11" t="s">
        <v>143</v>
      </c>
      <c r="E192" s="5" t="s">
        <v>320</v>
      </c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</row>
    <row r="193" spans="1:89" ht="14.1" customHeight="1" x14ac:dyDescent="0.25">
      <c r="A193" s="84"/>
      <c r="B193" s="85"/>
      <c r="C193" s="86"/>
      <c r="D193" s="11" t="s">
        <v>144</v>
      </c>
      <c r="E193" s="5" t="s">
        <v>321</v>
      </c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</row>
    <row r="194" spans="1:89" ht="14.1" customHeight="1" x14ac:dyDescent="0.25">
      <c r="A194" s="84"/>
      <c r="B194" s="85"/>
      <c r="C194" s="86"/>
      <c r="D194" s="11" t="s">
        <v>145</v>
      </c>
      <c r="E194" s="5" t="s">
        <v>322</v>
      </c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</row>
    <row r="195" spans="1:89" ht="14.1" customHeight="1" x14ac:dyDescent="0.25">
      <c r="A195" s="84"/>
      <c r="B195" s="85"/>
      <c r="C195" s="86"/>
      <c r="D195" s="11" t="s">
        <v>146</v>
      </c>
      <c r="E195" s="5" t="s">
        <v>323</v>
      </c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</row>
    <row r="196" spans="1:89" ht="14.1" customHeight="1" x14ac:dyDescent="0.25">
      <c r="A196" s="84"/>
      <c r="B196" s="85"/>
      <c r="C196" s="86"/>
      <c r="D196" s="11" t="s">
        <v>147</v>
      </c>
      <c r="E196" s="5" t="s">
        <v>324</v>
      </c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</row>
    <row r="197" spans="1:89" ht="14.1" customHeight="1" x14ac:dyDescent="0.25">
      <c r="A197" s="84"/>
      <c r="B197" s="85"/>
      <c r="C197" s="86"/>
      <c r="D197" s="11" t="s">
        <v>138</v>
      </c>
      <c r="E197" s="5" t="s">
        <v>325</v>
      </c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</row>
    <row r="198" spans="1:89" ht="14.1" customHeight="1" x14ac:dyDescent="0.25">
      <c r="A198" s="84"/>
      <c r="B198" s="85"/>
      <c r="C198" s="86"/>
      <c r="D198" s="11" t="s">
        <v>139</v>
      </c>
      <c r="E198" s="5" t="s">
        <v>326</v>
      </c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</row>
    <row r="199" spans="1:89" ht="14.1" customHeight="1" x14ac:dyDescent="0.25">
      <c r="A199" s="84"/>
      <c r="B199" s="85"/>
      <c r="C199" s="86"/>
      <c r="D199" s="11" t="s">
        <v>140</v>
      </c>
      <c r="E199" s="5" t="s">
        <v>327</v>
      </c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</row>
    <row r="200" spans="1:89" ht="14.1" customHeight="1" x14ac:dyDescent="0.25">
      <c r="A200" s="84"/>
      <c r="B200" s="85"/>
      <c r="C200" s="86"/>
      <c r="D200" s="11" t="s">
        <v>141</v>
      </c>
      <c r="E200" s="5" t="s">
        <v>328</v>
      </c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</row>
    <row r="201" spans="1:89" ht="14.1" customHeight="1" x14ac:dyDescent="0.25">
      <c r="A201" s="84"/>
      <c r="B201" s="85"/>
      <c r="C201" s="86"/>
      <c r="D201" s="11" t="s">
        <v>142</v>
      </c>
      <c r="E201" s="5" t="s">
        <v>329</v>
      </c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</row>
    <row r="202" spans="1:89" ht="14.1" customHeight="1" x14ac:dyDescent="0.25">
      <c r="A202" s="84"/>
      <c r="B202" s="85"/>
      <c r="C202" s="86"/>
      <c r="D202" s="11" t="s">
        <v>143</v>
      </c>
      <c r="E202" s="5" t="s">
        <v>330</v>
      </c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</row>
    <row r="203" spans="1:89" ht="14.1" customHeight="1" x14ac:dyDescent="0.25">
      <c r="A203" s="84"/>
      <c r="B203" s="85"/>
      <c r="C203" s="86"/>
      <c r="D203" s="11" t="s">
        <v>144</v>
      </c>
      <c r="E203" s="5" t="s">
        <v>331</v>
      </c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</row>
    <row r="204" spans="1:89" ht="14.1" customHeight="1" x14ac:dyDescent="0.25">
      <c r="A204" s="84"/>
      <c r="B204" s="85"/>
      <c r="C204" s="86"/>
      <c r="D204" s="11" t="s">
        <v>145</v>
      </c>
      <c r="E204" s="5" t="s">
        <v>332</v>
      </c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</row>
    <row r="205" spans="1:89" ht="14.1" customHeight="1" x14ac:dyDescent="0.25">
      <c r="A205" s="84"/>
      <c r="B205" s="85"/>
      <c r="C205" s="86"/>
      <c r="D205" s="11" t="s">
        <v>146</v>
      </c>
      <c r="E205" s="5" t="s">
        <v>333</v>
      </c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</row>
    <row r="206" spans="1:89" ht="13.5" customHeight="1" thickBot="1" x14ac:dyDescent="0.3">
      <c r="A206" s="87"/>
      <c r="B206" s="88"/>
      <c r="C206" s="89"/>
      <c r="D206" s="12" t="s">
        <v>147</v>
      </c>
      <c r="E206" s="6" t="s">
        <v>334</v>
      </c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</row>
    <row r="207" spans="1:89" ht="14.1" customHeight="1" x14ac:dyDescent="0.25">
      <c r="A207" s="72" t="s">
        <v>148</v>
      </c>
      <c r="B207" s="73"/>
      <c r="C207" s="74"/>
      <c r="D207" s="10" t="s">
        <v>149</v>
      </c>
      <c r="E207" s="4" t="s">
        <v>335</v>
      </c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</row>
    <row r="208" spans="1:89" ht="14.1" customHeight="1" x14ac:dyDescent="0.25">
      <c r="A208" s="75"/>
      <c r="B208" s="76"/>
      <c r="C208" s="77"/>
      <c r="D208" s="11" t="s">
        <v>150</v>
      </c>
      <c r="E208" s="5" t="s">
        <v>336</v>
      </c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</row>
    <row r="209" spans="1:89" ht="14.1" customHeight="1" x14ac:dyDescent="0.25">
      <c r="A209" s="75"/>
      <c r="B209" s="76"/>
      <c r="C209" s="77"/>
      <c r="D209" s="11" t="s">
        <v>149</v>
      </c>
      <c r="E209" s="5" t="s">
        <v>337</v>
      </c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</row>
    <row r="210" spans="1:89" ht="14.1" customHeight="1" thickBot="1" x14ac:dyDescent="0.3">
      <c r="A210" s="78"/>
      <c r="B210" s="79"/>
      <c r="C210" s="80"/>
      <c r="D210" s="12" t="s">
        <v>150</v>
      </c>
      <c r="E210" s="6" t="s">
        <v>338</v>
      </c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</row>
    <row r="211" spans="1:89" ht="14.1" customHeight="1" x14ac:dyDescent="0.25">
      <c r="A211" s="63" t="s">
        <v>151</v>
      </c>
      <c r="B211" s="64"/>
      <c r="C211" s="65"/>
      <c r="D211" s="10" t="s">
        <v>152</v>
      </c>
      <c r="E211" s="4" t="s">
        <v>339</v>
      </c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</row>
    <row r="212" spans="1:89" ht="14.1" customHeight="1" x14ac:dyDescent="0.25">
      <c r="A212" s="66"/>
      <c r="B212" s="67"/>
      <c r="C212" s="68"/>
      <c r="D212" s="11" t="s">
        <v>153</v>
      </c>
      <c r="E212" s="5" t="s">
        <v>340</v>
      </c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</row>
    <row r="213" spans="1:89" ht="14.1" customHeight="1" x14ac:dyDescent="0.25">
      <c r="A213" s="66"/>
      <c r="B213" s="67"/>
      <c r="C213" s="68"/>
      <c r="D213" s="11" t="s">
        <v>154</v>
      </c>
      <c r="E213" s="5" t="s">
        <v>341</v>
      </c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</row>
    <row r="214" spans="1:89" ht="14.1" customHeight="1" x14ac:dyDescent="0.25">
      <c r="A214" s="66"/>
      <c r="B214" s="67"/>
      <c r="C214" s="68"/>
      <c r="D214" s="11" t="s">
        <v>155</v>
      </c>
      <c r="E214" s="5" t="s">
        <v>342</v>
      </c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  <c r="CJ214" s="9"/>
      <c r="CK214" s="9"/>
    </row>
    <row r="215" spans="1:89" ht="14.1" customHeight="1" x14ac:dyDescent="0.25">
      <c r="A215" s="66"/>
      <c r="B215" s="67"/>
      <c r="C215" s="68"/>
      <c r="D215" s="11" t="s">
        <v>156</v>
      </c>
      <c r="E215" s="5" t="s">
        <v>343</v>
      </c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</row>
    <row r="216" spans="1:89" ht="14.1" customHeight="1" x14ac:dyDescent="0.25">
      <c r="A216" s="66"/>
      <c r="B216" s="67"/>
      <c r="C216" s="68"/>
      <c r="D216" s="11" t="s">
        <v>157</v>
      </c>
      <c r="E216" s="5" t="s">
        <v>344</v>
      </c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</row>
    <row r="217" spans="1:89" ht="14.1" customHeight="1" x14ac:dyDescent="0.25">
      <c r="A217" s="66"/>
      <c r="B217" s="67"/>
      <c r="C217" s="68"/>
      <c r="D217" s="11" t="s">
        <v>158</v>
      </c>
      <c r="E217" s="5" t="s">
        <v>345</v>
      </c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</row>
    <row r="218" spans="1:89" ht="14.1" customHeight="1" x14ac:dyDescent="0.25">
      <c r="A218" s="66"/>
      <c r="B218" s="67"/>
      <c r="C218" s="68"/>
      <c r="D218" s="11" t="s">
        <v>159</v>
      </c>
      <c r="E218" s="5" t="s">
        <v>346</v>
      </c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  <c r="CJ218" s="9"/>
      <c r="CK218" s="9"/>
    </row>
    <row r="219" spans="1:89" ht="14.1" customHeight="1" x14ac:dyDescent="0.25">
      <c r="A219" s="66"/>
      <c r="B219" s="67"/>
      <c r="C219" s="68"/>
      <c r="D219" s="11" t="s">
        <v>160</v>
      </c>
      <c r="E219" s="5" t="s">
        <v>347</v>
      </c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  <c r="CJ219" s="9"/>
      <c r="CK219" s="9"/>
    </row>
    <row r="220" spans="1:89" ht="14.1" customHeight="1" thickBot="1" x14ac:dyDescent="0.3">
      <c r="A220" s="69"/>
      <c r="B220" s="70"/>
      <c r="C220" s="71"/>
      <c r="D220" s="12" t="s">
        <v>161</v>
      </c>
      <c r="E220" s="6" t="s">
        <v>348</v>
      </c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  <c r="CJ220" s="9"/>
      <c r="CK220" s="9"/>
    </row>
    <row r="221" spans="1:89" ht="14.1" customHeight="1" x14ac:dyDescent="0.25">
      <c r="A221" s="54" t="s">
        <v>170</v>
      </c>
      <c r="B221" s="55"/>
      <c r="C221" s="56"/>
      <c r="D221" s="10" t="s">
        <v>171</v>
      </c>
      <c r="E221" s="4" t="s">
        <v>349</v>
      </c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</row>
    <row r="222" spans="1:89" ht="14.1" customHeight="1" x14ac:dyDescent="0.25">
      <c r="A222" s="57"/>
      <c r="B222" s="58"/>
      <c r="C222" s="59"/>
      <c r="D222" s="11" t="s">
        <v>172</v>
      </c>
      <c r="E222" s="5" t="s">
        <v>350</v>
      </c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  <c r="CJ222" s="9"/>
      <c r="CK222" s="9"/>
    </row>
    <row r="223" spans="1:89" ht="14.1" customHeight="1" x14ac:dyDescent="0.25">
      <c r="A223" s="57"/>
      <c r="B223" s="58"/>
      <c r="C223" s="59"/>
      <c r="D223" s="11" t="s">
        <v>171</v>
      </c>
      <c r="E223" s="5" t="s">
        <v>384</v>
      </c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  <c r="CJ223" s="9"/>
      <c r="CK223" s="9"/>
    </row>
    <row r="224" spans="1:89" ht="14.1" customHeight="1" thickBot="1" x14ac:dyDescent="0.3">
      <c r="A224" s="60"/>
      <c r="B224" s="61"/>
      <c r="C224" s="62"/>
      <c r="D224" s="12" t="s">
        <v>172</v>
      </c>
      <c r="E224" s="6" t="s">
        <v>385</v>
      </c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</row>
    <row r="225" spans="1:89" ht="14.1" customHeight="1" x14ac:dyDescent="0.25">
      <c r="A225" s="45" t="s">
        <v>173</v>
      </c>
      <c r="B225" s="46"/>
      <c r="C225" s="47"/>
      <c r="D225" s="10" t="s">
        <v>174</v>
      </c>
      <c r="E225" s="4" t="s">
        <v>351</v>
      </c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  <c r="CE225" s="9"/>
      <c r="CF225" s="9"/>
      <c r="CG225" s="9"/>
      <c r="CH225" s="9"/>
      <c r="CI225" s="9"/>
      <c r="CJ225" s="9"/>
      <c r="CK225" s="9"/>
    </row>
    <row r="226" spans="1:89" ht="14.1" customHeight="1" x14ac:dyDescent="0.25">
      <c r="A226" s="48"/>
      <c r="B226" s="49"/>
      <c r="C226" s="50"/>
      <c r="D226" s="11" t="s">
        <v>175</v>
      </c>
      <c r="E226" s="5" t="s">
        <v>352</v>
      </c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  <c r="CJ226" s="9"/>
      <c r="CK226" s="9"/>
    </row>
    <row r="227" spans="1:89" ht="14.1" customHeight="1" x14ac:dyDescent="0.25">
      <c r="A227" s="48"/>
      <c r="B227" s="49"/>
      <c r="C227" s="50"/>
      <c r="D227" s="11" t="s">
        <v>174</v>
      </c>
      <c r="E227" s="5" t="s">
        <v>386</v>
      </c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  <c r="CJ227" s="9"/>
      <c r="CK227" s="9"/>
    </row>
    <row r="228" spans="1:89" ht="14.1" customHeight="1" thickBot="1" x14ac:dyDescent="0.3">
      <c r="A228" s="51"/>
      <c r="B228" s="52"/>
      <c r="C228" s="53"/>
      <c r="D228" s="12" t="s">
        <v>175</v>
      </c>
      <c r="E228" s="6" t="s">
        <v>387</v>
      </c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  <c r="CJ228" s="9"/>
      <c r="CK228" s="9"/>
    </row>
    <row r="229" spans="1:89" ht="14.1" customHeight="1" x14ac:dyDescent="0.25">
      <c r="A229" s="148" t="s">
        <v>176</v>
      </c>
      <c r="B229" s="149"/>
      <c r="C229" s="150"/>
      <c r="D229" s="10" t="s">
        <v>188</v>
      </c>
      <c r="E229" s="4" t="s">
        <v>353</v>
      </c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</row>
    <row r="230" spans="1:89" ht="14.1" customHeight="1" x14ac:dyDescent="0.25">
      <c r="A230" s="151"/>
      <c r="B230" s="152"/>
      <c r="C230" s="153"/>
      <c r="D230" s="11" t="s">
        <v>189</v>
      </c>
      <c r="E230" s="5" t="s">
        <v>354</v>
      </c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</row>
    <row r="231" spans="1:89" ht="14.1" customHeight="1" x14ac:dyDescent="0.25">
      <c r="A231" s="151"/>
      <c r="B231" s="152"/>
      <c r="C231" s="153"/>
      <c r="D231" s="11" t="s">
        <v>190</v>
      </c>
      <c r="E231" s="5" t="s">
        <v>355</v>
      </c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</row>
    <row r="232" spans="1:89" ht="14.1" customHeight="1" x14ac:dyDescent="0.25">
      <c r="A232" s="151"/>
      <c r="B232" s="152"/>
      <c r="C232" s="153"/>
      <c r="D232" s="11" t="s">
        <v>188</v>
      </c>
      <c r="E232" s="5" t="s">
        <v>388</v>
      </c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</row>
    <row r="233" spans="1:89" ht="14.1" customHeight="1" x14ac:dyDescent="0.25">
      <c r="A233" s="151"/>
      <c r="B233" s="152"/>
      <c r="C233" s="153"/>
      <c r="D233" s="11" t="s">
        <v>189</v>
      </c>
      <c r="E233" s="5" t="s">
        <v>389</v>
      </c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  <c r="CJ233" s="9"/>
      <c r="CK233" s="9"/>
    </row>
    <row r="234" spans="1:89" ht="14.1" customHeight="1" thickBot="1" x14ac:dyDescent="0.3">
      <c r="A234" s="154"/>
      <c r="B234" s="155"/>
      <c r="C234" s="156"/>
      <c r="D234" s="12" t="s">
        <v>190</v>
      </c>
      <c r="E234" s="6" t="s">
        <v>390</v>
      </c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  <c r="CJ234" s="9"/>
      <c r="CK234" s="9"/>
    </row>
    <row r="235" spans="1:89" ht="14.1" customHeight="1" x14ac:dyDescent="0.25">
      <c r="A235" s="130" t="s">
        <v>136</v>
      </c>
      <c r="B235" s="131"/>
      <c r="C235" s="132"/>
      <c r="D235" s="42" t="s">
        <v>402</v>
      </c>
      <c r="E235" s="37" t="s">
        <v>356</v>
      </c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  <c r="CE235" s="9"/>
      <c r="CF235" s="9"/>
      <c r="CG235" s="9"/>
      <c r="CH235" s="9"/>
      <c r="CI235" s="9"/>
      <c r="CJ235" s="9"/>
      <c r="CK235" s="9"/>
    </row>
    <row r="236" spans="1:89" ht="14.1" customHeight="1" x14ac:dyDescent="0.25">
      <c r="A236" s="133"/>
      <c r="B236" s="134"/>
      <c r="C236" s="135"/>
      <c r="D236" s="11" t="s">
        <v>403</v>
      </c>
      <c r="E236" s="39" t="s">
        <v>357</v>
      </c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  <c r="CE236" s="9"/>
      <c r="CF236" s="9"/>
      <c r="CG236" s="9"/>
      <c r="CH236" s="9"/>
      <c r="CI236" s="9"/>
      <c r="CJ236" s="9"/>
      <c r="CK236" s="9"/>
    </row>
    <row r="237" spans="1:89" ht="14.1" customHeight="1" x14ac:dyDescent="0.25">
      <c r="A237" s="133"/>
      <c r="B237" s="134"/>
      <c r="C237" s="135"/>
      <c r="D237" s="11" t="s">
        <v>404</v>
      </c>
      <c r="E237" s="39" t="s">
        <v>358</v>
      </c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  <c r="CJ237" s="9"/>
      <c r="CK237" s="9"/>
    </row>
    <row r="238" spans="1:89" ht="14.1" customHeight="1" x14ac:dyDescent="0.25">
      <c r="A238" s="133"/>
      <c r="B238" s="134"/>
      <c r="C238" s="135"/>
      <c r="D238" s="11" t="s">
        <v>405</v>
      </c>
      <c r="E238" s="39" t="s">
        <v>359</v>
      </c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  <c r="CE238" s="9"/>
      <c r="CF238" s="9"/>
      <c r="CG238" s="9"/>
      <c r="CH238" s="9"/>
      <c r="CI238" s="9"/>
      <c r="CJ238" s="9"/>
      <c r="CK238" s="9"/>
    </row>
    <row r="239" spans="1:89" ht="14.1" customHeight="1" x14ac:dyDescent="0.25">
      <c r="A239" s="133"/>
      <c r="B239" s="134"/>
      <c r="C239" s="135"/>
      <c r="D239" s="11" t="s">
        <v>406</v>
      </c>
      <c r="E239" s="39" t="s">
        <v>360</v>
      </c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  <c r="CE239" s="9"/>
      <c r="CF239" s="9"/>
      <c r="CG239" s="9"/>
      <c r="CH239" s="9"/>
      <c r="CI239" s="9"/>
      <c r="CJ239" s="9"/>
      <c r="CK239" s="9"/>
    </row>
    <row r="240" spans="1:89" ht="14.1" customHeight="1" x14ac:dyDescent="0.25">
      <c r="A240" s="133"/>
      <c r="B240" s="134"/>
      <c r="C240" s="135"/>
      <c r="D240" s="11" t="s">
        <v>407</v>
      </c>
      <c r="E240" s="39" t="s">
        <v>361</v>
      </c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</row>
    <row r="241" spans="1:89" ht="14.1" customHeight="1" x14ac:dyDescent="0.25">
      <c r="A241" s="133"/>
      <c r="B241" s="134"/>
      <c r="C241" s="135"/>
      <c r="D241" s="11" t="s">
        <v>408</v>
      </c>
      <c r="E241" s="39" t="s">
        <v>362</v>
      </c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  <c r="CJ241" s="9"/>
      <c r="CK241" s="9"/>
    </row>
    <row r="242" spans="1:89" ht="14.1" customHeight="1" x14ac:dyDescent="0.25">
      <c r="A242" s="133"/>
      <c r="B242" s="134"/>
      <c r="C242" s="135"/>
      <c r="D242" s="11" t="s">
        <v>409</v>
      </c>
      <c r="E242" s="39" t="s">
        <v>363</v>
      </c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  <c r="CE242" s="9"/>
      <c r="CF242" s="9"/>
      <c r="CG242" s="9"/>
      <c r="CH242" s="9"/>
      <c r="CI242" s="9"/>
      <c r="CJ242" s="9"/>
      <c r="CK242" s="9"/>
    </row>
    <row r="243" spans="1:89" ht="14.1" customHeight="1" x14ac:dyDescent="0.25">
      <c r="A243" s="133"/>
      <c r="B243" s="134"/>
      <c r="C243" s="135"/>
      <c r="D243" s="11" t="s">
        <v>410</v>
      </c>
      <c r="E243" s="39" t="s">
        <v>364</v>
      </c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</row>
    <row r="244" spans="1:89" ht="14.1" customHeight="1" x14ac:dyDescent="0.25">
      <c r="A244" s="133"/>
      <c r="B244" s="134"/>
      <c r="C244" s="135"/>
      <c r="D244" s="11" t="s">
        <v>411</v>
      </c>
      <c r="E244" s="39" t="s">
        <v>365</v>
      </c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  <c r="CE244" s="9"/>
      <c r="CF244" s="9"/>
      <c r="CG244" s="9"/>
      <c r="CH244" s="9"/>
      <c r="CI244" s="9"/>
      <c r="CJ244" s="9"/>
      <c r="CK244" s="9"/>
    </row>
    <row r="245" spans="1:89" ht="14.1" customHeight="1" x14ac:dyDescent="0.25">
      <c r="A245" s="133"/>
      <c r="B245" s="134"/>
      <c r="C245" s="135"/>
      <c r="D245" s="11" t="s">
        <v>412</v>
      </c>
      <c r="E245" s="39" t="s">
        <v>366</v>
      </c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  <c r="CJ245" s="9"/>
      <c r="CK245" s="9"/>
    </row>
    <row r="246" spans="1:89" ht="14.1" customHeight="1" x14ac:dyDescent="0.25">
      <c r="A246" s="133"/>
      <c r="B246" s="134"/>
      <c r="C246" s="135"/>
      <c r="D246" s="11" t="s">
        <v>413</v>
      </c>
      <c r="E246" s="39" t="s">
        <v>367</v>
      </c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  <c r="CE246" s="9"/>
      <c r="CF246" s="9"/>
      <c r="CG246" s="9"/>
      <c r="CH246" s="9"/>
      <c r="CI246" s="9"/>
      <c r="CJ246" s="9"/>
      <c r="CK246" s="9"/>
    </row>
    <row r="247" spans="1:89" ht="14.1" customHeight="1" x14ac:dyDescent="0.25">
      <c r="A247" s="133"/>
      <c r="B247" s="134"/>
      <c r="C247" s="135"/>
      <c r="D247" s="11" t="s">
        <v>414</v>
      </c>
      <c r="E247" s="39" t="s">
        <v>368</v>
      </c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  <c r="CE247" s="9"/>
      <c r="CF247" s="9"/>
      <c r="CG247" s="9"/>
      <c r="CH247" s="9"/>
      <c r="CI247" s="9"/>
      <c r="CJ247" s="9"/>
      <c r="CK247" s="9"/>
    </row>
    <row r="248" spans="1:89" ht="14.1" customHeight="1" x14ac:dyDescent="0.25">
      <c r="A248" s="133"/>
      <c r="B248" s="134"/>
      <c r="C248" s="135"/>
      <c r="D248" s="11" t="s">
        <v>415</v>
      </c>
      <c r="E248" s="39" t="s">
        <v>369</v>
      </c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  <c r="CE248" s="9"/>
      <c r="CF248" s="9"/>
      <c r="CG248" s="9"/>
      <c r="CH248" s="9"/>
      <c r="CI248" s="9"/>
      <c r="CJ248" s="9"/>
      <c r="CK248" s="9"/>
    </row>
    <row r="249" spans="1:89" ht="14.1" customHeight="1" x14ac:dyDescent="0.25">
      <c r="A249" s="133"/>
      <c r="B249" s="134"/>
      <c r="C249" s="135"/>
      <c r="D249" s="11" t="s">
        <v>416</v>
      </c>
      <c r="E249" s="39" t="s">
        <v>370</v>
      </c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9"/>
      <c r="CE249" s="9"/>
      <c r="CF249" s="9"/>
      <c r="CG249" s="9"/>
      <c r="CH249" s="9"/>
      <c r="CI249" s="9"/>
      <c r="CJ249" s="9"/>
      <c r="CK249" s="9"/>
    </row>
    <row r="250" spans="1:89" ht="14.1" customHeight="1" x14ac:dyDescent="0.25">
      <c r="A250" s="133"/>
      <c r="B250" s="134"/>
      <c r="C250" s="135"/>
      <c r="D250" s="11" t="s">
        <v>417</v>
      </c>
      <c r="E250" s="39" t="s">
        <v>371</v>
      </c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9"/>
      <c r="CE250" s="9"/>
      <c r="CF250" s="9"/>
      <c r="CG250" s="9"/>
      <c r="CH250" s="9"/>
      <c r="CI250" s="9"/>
      <c r="CJ250" s="9"/>
      <c r="CK250" s="9"/>
    </row>
    <row r="251" spans="1:89" ht="14.1" customHeight="1" x14ac:dyDescent="0.25">
      <c r="A251" s="133"/>
      <c r="B251" s="134"/>
      <c r="C251" s="135"/>
      <c r="D251" s="11" t="s">
        <v>418</v>
      </c>
      <c r="E251" s="39" t="s">
        <v>372</v>
      </c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</row>
    <row r="252" spans="1:89" ht="14.1" customHeight="1" x14ac:dyDescent="0.25">
      <c r="A252" s="133"/>
      <c r="B252" s="134"/>
      <c r="C252" s="135"/>
      <c r="D252" s="11" t="s">
        <v>419</v>
      </c>
      <c r="E252" s="39" t="s">
        <v>373</v>
      </c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  <c r="BZ252" s="9"/>
      <c r="CA252" s="9"/>
      <c r="CB252" s="9"/>
      <c r="CC252" s="9"/>
      <c r="CD252" s="9"/>
      <c r="CE252" s="9"/>
      <c r="CF252" s="9"/>
      <c r="CG252" s="9"/>
      <c r="CH252" s="9"/>
      <c r="CI252" s="9"/>
      <c r="CJ252" s="9"/>
      <c r="CK252" s="9"/>
    </row>
    <row r="253" spans="1:89" ht="14.1" customHeight="1" x14ac:dyDescent="0.25">
      <c r="A253" s="133"/>
      <c r="B253" s="134"/>
      <c r="C253" s="135"/>
      <c r="D253" s="43" t="s">
        <v>402</v>
      </c>
      <c r="E253" s="41" t="s">
        <v>420</v>
      </c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  <c r="BZ253" s="9"/>
      <c r="CA253" s="9"/>
      <c r="CB253" s="9"/>
      <c r="CC253" s="9"/>
      <c r="CD253" s="9"/>
      <c r="CE253" s="9"/>
      <c r="CF253" s="9"/>
      <c r="CG253" s="9"/>
      <c r="CH253" s="9"/>
      <c r="CI253" s="9"/>
      <c r="CJ253" s="9"/>
      <c r="CK253" s="9"/>
    </row>
    <row r="254" spans="1:89" ht="14.1" customHeight="1" x14ac:dyDescent="0.25">
      <c r="A254" s="133"/>
      <c r="B254" s="134"/>
      <c r="C254" s="135"/>
      <c r="D254" s="11" t="s">
        <v>403</v>
      </c>
      <c r="E254" s="41" t="s">
        <v>421</v>
      </c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</row>
    <row r="255" spans="1:89" ht="14.1" customHeight="1" x14ac:dyDescent="0.25">
      <c r="A255" s="133"/>
      <c r="B255" s="134"/>
      <c r="C255" s="135"/>
      <c r="D255" s="11" t="s">
        <v>404</v>
      </c>
      <c r="E255" s="41" t="s">
        <v>422</v>
      </c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  <c r="BP255" s="9"/>
      <c r="BQ255" s="9"/>
      <c r="BR255" s="9"/>
      <c r="BS255" s="9"/>
      <c r="BT255" s="9"/>
      <c r="BU255" s="9"/>
      <c r="BV255" s="9"/>
      <c r="BW255" s="9"/>
      <c r="BX255" s="9"/>
      <c r="BY255" s="9"/>
      <c r="BZ255" s="9"/>
      <c r="CA255" s="9"/>
      <c r="CB255" s="9"/>
      <c r="CC255" s="9"/>
      <c r="CD255" s="9"/>
      <c r="CE255" s="9"/>
      <c r="CF255" s="9"/>
      <c r="CG255" s="9"/>
      <c r="CH255" s="9"/>
      <c r="CI255" s="9"/>
      <c r="CJ255" s="9"/>
      <c r="CK255" s="9"/>
    </row>
    <row r="256" spans="1:89" ht="14.1" customHeight="1" x14ac:dyDescent="0.25">
      <c r="A256" s="133"/>
      <c r="B256" s="134"/>
      <c r="C256" s="135"/>
      <c r="D256" s="11" t="s">
        <v>405</v>
      </c>
      <c r="E256" s="41" t="s">
        <v>423</v>
      </c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  <c r="BP256" s="9"/>
      <c r="BQ256" s="9"/>
      <c r="BR256" s="9"/>
      <c r="BS256" s="9"/>
      <c r="BT256" s="9"/>
      <c r="BU256" s="9"/>
      <c r="BV256" s="9"/>
      <c r="BW256" s="9"/>
      <c r="BX256" s="9"/>
      <c r="BY256" s="9"/>
      <c r="BZ256" s="9"/>
      <c r="CA256" s="9"/>
      <c r="CB256" s="9"/>
      <c r="CC256" s="9"/>
      <c r="CD256" s="9"/>
      <c r="CE256" s="9"/>
      <c r="CF256" s="9"/>
      <c r="CG256" s="9"/>
      <c r="CH256" s="9"/>
      <c r="CI256" s="9"/>
      <c r="CJ256" s="9"/>
      <c r="CK256" s="9"/>
    </row>
    <row r="257" spans="1:89" ht="14.1" customHeight="1" x14ac:dyDescent="0.25">
      <c r="A257" s="133"/>
      <c r="B257" s="134"/>
      <c r="C257" s="135"/>
      <c r="D257" s="11" t="s">
        <v>406</v>
      </c>
      <c r="E257" s="41" t="s">
        <v>424</v>
      </c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  <c r="BP257" s="9"/>
      <c r="BQ257" s="9"/>
      <c r="BR257" s="9"/>
      <c r="BS257" s="9"/>
      <c r="BT257" s="9"/>
      <c r="BU257" s="9"/>
      <c r="BV257" s="9"/>
      <c r="BW257" s="9"/>
      <c r="BX257" s="9"/>
      <c r="BY257" s="9"/>
      <c r="BZ257" s="9"/>
      <c r="CA257" s="9"/>
      <c r="CB257" s="9"/>
      <c r="CC257" s="9"/>
      <c r="CD257" s="9"/>
      <c r="CE257" s="9"/>
      <c r="CF257" s="9"/>
      <c r="CG257" s="9"/>
      <c r="CH257" s="9"/>
      <c r="CI257" s="9"/>
      <c r="CJ257" s="9"/>
      <c r="CK257" s="9"/>
    </row>
    <row r="258" spans="1:89" ht="14.1" customHeight="1" x14ac:dyDescent="0.25">
      <c r="A258" s="133"/>
      <c r="B258" s="134"/>
      <c r="C258" s="135"/>
      <c r="D258" s="11" t="s">
        <v>407</v>
      </c>
      <c r="E258" s="41" t="s">
        <v>425</v>
      </c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  <c r="BP258" s="9"/>
      <c r="BQ258" s="9"/>
      <c r="BR258" s="9"/>
      <c r="BS258" s="9"/>
      <c r="BT258" s="9"/>
      <c r="BU258" s="9"/>
      <c r="BV258" s="9"/>
      <c r="BW258" s="9"/>
      <c r="BX258" s="9"/>
      <c r="BY258" s="9"/>
      <c r="BZ258" s="9"/>
      <c r="CA258" s="9"/>
      <c r="CB258" s="9"/>
      <c r="CC258" s="9"/>
      <c r="CD258" s="9"/>
      <c r="CE258" s="9"/>
      <c r="CF258" s="9"/>
      <c r="CG258" s="9"/>
      <c r="CH258" s="9"/>
      <c r="CI258" s="9"/>
      <c r="CJ258" s="9"/>
      <c r="CK258" s="9"/>
    </row>
    <row r="259" spans="1:89" ht="14.1" customHeight="1" x14ac:dyDescent="0.25">
      <c r="A259" s="133"/>
      <c r="B259" s="134"/>
      <c r="C259" s="135"/>
      <c r="D259" s="11" t="s">
        <v>408</v>
      </c>
      <c r="E259" s="41" t="s">
        <v>426</v>
      </c>
      <c r="F259" s="9"/>
      <c r="G259" s="9"/>
      <c r="H259" s="9"/>
      <c r="I259" s="9"/>
      <c r="J259" s="9"/>
      <c r="K259" s="9"/>
      <c r="L259" s="9"/>
      <c r="M259" s="9"/>
      <c r="N259" s="9"/>
      <c r="O259" s="9"/>
    </row>
    <row r="260" spans="1:89" ht="14.1" customHeight="1" x14ac:dyDescent="0.25">
      <c r="A260" s="133"/>
      <c r="B260" s="134"/>
      <c r="C260" s="135"/>
      <c r="D260" s="11" t="s">
        <v>409</v>
      </c>
      <c r="E260" s="41" t="s">
        <v>427</v>
      </c>
      <c r="F260" s="9"/>
      <c r="G260" s="9"/>
      <c r="H260" s="9"/>
      <c r="I260" s="9"/>
      <c r="J260" s="9"/>
      <c r="K260" s="9"/>
      <c r="L260" s="9"/>
      <c r="M260" s="9"/>
      <c r="N260" s="9"/>
      <c r="O260" s="9"/>
    </row>
    <row r="261" spans="1:89" ht="14.1" customHeight="1" x14ac:dyDescent="0.25">
      <c r="A261" s="133"/>
      <c r="B261" s="134"/>
      <c r="C261" s="135"/>
      <c r="D261" s="11" t="s">
        <v>410</v>
      </c>
      <c r="E261" s="41" t="s">
        <v>428</v>
      </c>
      <c r="F261" s="9"/>
      <c r="G261" s="9"/>
      <c r="H261" s="9"/>
      <c r="I261" s="9"/>
      <c r="J261" s="9"/>
      <c r="K261" s="9"/>
      <c r="L261" s="9"/>
      <c r="M261" s="9"/>
      <c r="N261" s="9"/>
      <c r="O261" s="9"/>
    </row>
    <row r="262" spans="1:89" ht="14.1" customHeight="1" x14ac:dyDescent="0.25">
      <c r="A262" s="133"/>
      <c r="B262" s="134"/>
      <c r="C262" s="135"/>
      <c r="D262" s="11" t="s">
        <v>411</v>
      </c>
      <c r="E262" s="41" t="s">
        <v>429</v>
      </c>
      <c r="F262" s="9"/>
      <c r="G262" s="9"/>
      <c r="H262" s="9"/>
      <c r="I262" s="9"/>
      <c r="J262" s="9"/>
      <c r="K262" s="9"/>
      <c r="L262" s="9"/>
      <c r="M262" s="9"/>
      <c r="N262" s="9"/>
      <c r="O262" s="9"/>
    </row>
    <row r="263" spans="1:89" ht="14.1" customHeight="1" x14ac:dyDescent="0.25">
      <c r="A263" s="133"/>
      <c r="B263" s="134"/>
      <c r="C263" s="135"/>
      <c r="D263" s="11" t="s">
        <v>412</v>
      </c>
      <c r="E263" s="41" t="s">
        <v>430</v>
      </c>
      <c r="F263" s="9"/>
      <c r="G263" s="9"/>
      <c r="H263" s="9"/>
      <c r="I263" s="9"/>
      <c r="J263" s="9"/>
      <c r="K263" s="9"/>
      <c r="L263" s="9"/>
      <c r="M263" s="9"/>
      <c r="N263" s="9"/>
      <c r="O263" s="9"/>
    </row>
    <row r="264" spans="1:89" ht="14.1" customHeight="1" x14ac:dyDescent="0.25">
      <c r="A264" s="133"/>
      <c r="B264" s="134"/>
      <c r="C264" s="135"/>
      <c r="D264" s="11" t="s">
        <v>413</v>
      </c>
      <c r="E264" s="41" t="s">
        <v>431</v>
      </c>
      <c r="F264" s="9"/>
      <c r="G264" s="9"/>
      <c r="H264" s="9"/>
      <c r="I264" s="9"/>
      <c r="J264" s="9"/>
      <c r="K264" s="9"/>
      <c r="L264" s="9"/>
      <c r="M264" s="9"/>
      <c r="N264" s="9"/>
      <c r="O264" s="9"/>
    </row>
    <row r="265" spans="1:89" ht="14.1" customHeight="1" x14ac:dyDescent="0.25">
      <c r="A265" s="133"/>
      <c r="B265" s="134"/>
      <c r="C265" s="135"/>
      <c r="D265" s="11" t="s">
        <v>414</v>
      </c>
      <c r="E265" s="41" t="s">
        <v>432</v>
      </c>
      <c r="F265" s="9"/>
      <c r="G265" s="9"/>
      <c r="H265" s="9"/>
      <c r="I265" s="9"/>
      <c r="J265" s="9"/>
      <c r="K265" s="9"/>
      <c r="L265" s="9"/>
      <c r="M265" s="9"/>
      <c r="N265" s="9"/>
      <c r="O265" s="9"/>
    </row>
    <row r="266" spans="1:89" ht="14.1" customHeight="1" x14ac:dyDescent="0.25">
      <c r="A266" s="133"/>
      <c r="B266" s="134"/>
      <c r="C266" s="135"/>
      <c r="D266" s="11" t="s">
        <v>415</v>
      </c>
      <c r="E266" s="41" t="s">
        <v>433</v>
      </c>
      <c r="F266" s="9"/>
      <c r="G266" s="9"/>
      <c r="H266" s="9"/>
      <c r="I266" s="9"/>
      <c r="J266" s="9"/>
      <c r="K266" s="9"/>
      <c r="L266" s="9"/>
      <c r="M266" s="9"/>
      <c r="N266" s="9"/>
      <c r="O266" s="9"/>
    </row>
    <row r="267" spans="1:89" ht="14.1" customHeight="1" x14ac:dyDescent="0.25">
      <c r="A267" s="133"/>
      <c r="B267" s="134"/>
      <c r="C267" s="135"/>
      <c r="D267" s="11" t="s">
        <v>416</v>
      </c>
      <c r="E267" s="41" t="s">
        <v>434</v>
      </c>
      <c r="F267" s="9"/>
      <c r="G267" s="9"/>
      <c r="H267" s="9"/>
      <c r="I267" s="9"/>
      <c r="J267" s="9"/>
      <c r="K267" s="9"/>
      <c r="L267" s="9"/>
      <c r="M267" s="9"/>
      <c r="N267" s="9"/>
      <c r="O267" s="9"/>
    </row>
    <row r="268" spans="1:89" ht="14.1" customHeight="1" x14ac:dyDescent="0.25">
      <c r="A268" s="133"/>
      <c r="B268" s="134"/>
      <c r="C268" s="135"/>
      <c r="D268" s="11" t="s">
        <v>417</v>
      </c>
      <c r="E268" s="41" t="s">
        <v>435</v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9"/>
      <c r="BI268" s="9"/>
      <c r="BJ268" s="9"/>
      <c r="BK268" s="9"/>
      <c r="BL268" s="9"/>
      <c r="BM268" s="9"/>
      <c r="BN268" s="9"/>
      <c r="BO268" s="9"/>
      <c r="BP268" s="9"/>
      <c r="BQ268" s="9"/>
      <c r="BR268" s="9"/>
      <c r="BS268" s="9"/>
      <c r="BT268" s="9"/>
      <c r="BU268" s="9"/>
      <c r="BV268" s="9"/>
      <c r="BW268" s="9"/>
      <c r="BX268" s="9"/>
      <c r="BY268" s="9"/>
      <c r="BZ268" s="9"/>
      <c r="CA268" s="9"/>
      <c r="CB268" s="9"/>
      <c r="CC268" s="9"/>
      <c r="CD268" s="9"/>
      <c r="CE268" s="9"/>
      <c r="CF268" s="9"/>
      <c r="CG268" s="9"/>
      <c r="CH268" s="9"/>
      <c r="CI268" s="9"/>
      <c r="CJ268" s="9"/>
      <c r="CK268" s="9"/>
    </row>
    <row r="269" spans="1:89" ht="14.1" customHeight="1" x14ac:dyDescent="0.25">
      <c r="A269" s="133"/>
      <c r="B269" s="134"/>
      <c r="C269" s="135"/>
      <c r="D269" s="11" t="s">
        <v>418</v>
      </c>
      <c r="E269" s="41" t="s">
        <v>436</v>
      </c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9"/>
      <c r="BI269" s="9"/>
      <c r="BJ269" s="9"/>
      <c r="BK269" s="9"/>
      <c r="BL269" s="9"/>
      <c r="BM269" s="9"/>
      <c r="BN269" s="9"/>
      <c r="BO269" s="9"/>
      <c r="BP269" s="9"/>
      <c r="BQ269" s="9"/>
      <c r="BR269" s="9"/>
      <c r="BS269" s="9"/>
      <c r="BT269" s="9"/>
      <c r="BU269" s="9"/>
      <c r="BV269" s="9"/>
      <c r="BW269" s="9"/>
      <c r="BX269" s="9"/>
      <c r="BY269" s="9"/>
      <c r="BZ269" s="9"/>
      <c r="CA269" s="9"/>
      <c r="CB269" s="9"/>
      <c r="CC269" s="9"/>
      <c r="CD269" s="9"/>
      <c r="CE269" s="9"/>
      <c r="CF269" s="9"/>
      <c r="CG269" s="9"/>
      <c r="CH269" s="9"/>
      <c r="CI269" s="9"/>
      <c r="CJ269" s="9"/>
      <c r="CK269" s="9"/>
    </row>
    <row r="270" spans="1:89" ht="14.1" customHeight="1" thickBot="1" x14ac:dyDescent="0.3">
      <c r="A270" s="136"/>
      <c r="B270" s="137"/>
      <c r="C270" s="138"/>
      <c r="D270" s="12" t="s">
        <v>419</v>
      </c>
      <c r="E270" s="44" t="s">
        <v>437</v>
      </c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  <c r="BL270" s="9"/>
      <c r="BM270" s="9"/>
      <c r="BN270" s="9"/>
      <c r="BO270" s="9"/>
      <c r="BP270" s="9"/>
      <c r="BQ270" s="9"/>
      <c r="BR270" s="9"/>
      <c r="BS270" s="9"/>
      <c r="BT270" s="9"/>
      <c r="BU270" s="9"/>
      <c r="BV270" s="9"/>
      <c r="BW270" s="9"/>
      <c r="BX270" s="9"/>
      <c r="BY270" s="9"/>
      <c r="BZ270" s="9"/>
      <c r="CA270" s="9"/>
      <c r="CB270" s="9"/>
      <c r="CC270" s="9"/>
      <c r="CD270" s="9"/>
      <c r="CE270" s="9"/>
      <c r="CF270" s="9"/>
      <c r="CG270" s="9"/>
      <c r="CH270" s="9"/>
      <c r="CI270" s="9"/>
      <c r="CJ270" s="9"/>
      <c r="CK270" s="9"/>
    </row>
    <row r="271" spans="1:89" ht="14.1" customHeight="1" x14ac:dyDescent="0.25">
      <c r="A271" s="139" t="s">
        <v>177</v>
      </c>
      <c r="B271" s="140"/>
      <c r="C271" s="141"/>
      <c r="D271" s="10" t="s">
        <v>178</v>
      </c>
      <c r="E271" s="37" t="s">
        <v>374</v>
      </c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9"/>
      <c r="BI271" s="9"/>
      <c r="BJ271" s="9"/>
      <c r="BK271" s="9"/>
      <c r="BL271" s="9"/>
      <c r="BM271" s="9"/>
      <c r="BN271" s="9"/>
      <c r="BO271" s="9"/>
      <c r="BP271" s="9"/>
      <c r="BQ271" s="9"/>
      <c r="BR271" s="9"/>
      <c r="BS271" s="9"/>
      <c r="BT271" s="9"/>
      <c r="BU271" s="9"/>
      <c r="BV271" s="9"/>
      <c r="BW271" s="9"/>
      <c r="BX271" s="9"/>
      <c r="BY271" s="9"/>
      <c r="BZ271" s="9"/>
      <c r="CA271" s="9"/>
      <c r="CB271" s="9"/>
      <c r="CC271" s="9"/>
      <c r="CD271" s="9"/>
      <c r="CE271" s="9"/>
      <c r="CF271" s="9"/>
      <c r="CG271" s="9"/>
      <c r="CH271" s="9"/>
      <c r="CI271" s="9"/>
      <c r="CJ271" s="9"/>
      <c r="CK271" s="9"/>
    </row>
    <row r="272" spans="1:89" ht="14.1" customHeight="1" x14ac:dyDescent="0.25">
      <c r="A272" s="142"/>
      <c r="B272" s="143"/>
      <c r="C272" s="144"/>
      <c r="D272" s="11" t="s">
        <v>179</v>
      </c>
      <c r="E272" s="39" t="s">
        <v>375</v>
      </c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9"/>
      <c r="BI272" s="9"/>
      <c r="BJ272" s="9"/>
      <c r="BK272" s="9"/>
      <c r="BL272" s="9"/>
      <c r="BM272" s="9"/>
      <c r="BN272" s="9"/>
      <c r="BO272" s="9"/>
      <c r="BP272" s="9"/>
      <c r="BQ272" s="9"/>
      <c r="BR272" s="9"/>
      <c r="BS272" s="9"/>
      <c r="BT272" s="9"/>
      <c r="BU272" s="9"/>
      <c r="BV272" s="9"/>
      <c r="BW272" s="9"/>
      <c r="BX272" s="9"/>
      <c r="BY272" s="9"/>
      <c r="BZ272" s="9"/>
      <c r="CA272" s="9"/>
      <c r="CB272" s="9"/>
      <c r="CC272" s="9"/>
      <c r="CD272" s="9"/>
      <c r="CE272" s="9"/>
      <c r="CF272" s="9"/>
      <c r="CG272" s="9"/>
      <c r="CH272" s="9"/>
      <c r="CI272" s="9"/>
      <c r="CJ272" s="9"/>
      <c r="CK272" s="9"/>
    </row>
    <row r="273" spans="1:89" ht="14.1" customHeight="1" x14ac:dyDescent="0.25">
      <c r="A273" s="142"/>
      <c r="B273" s="143"/>
      <c r="C273" s="144"/>
      <c r="D273" s="11" t="s">
        <v>180</v>
      </c>
      <c r="E273" s="39" t="s">
        <v>376</v>
      </c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9"/>
      <c r="BI273" s="9"/>
      <c r="BJ273" s="9"/>
      <c r="BK273" s="9"/>
      <c r="BL273" s="9"/>
      <c r="BM273" s="9"/>
      <c r="BN273" s="9"/>
      <c r="BO273" s="9"/>
      <c r="BP273" s="9"/>
      <c r="BQ273" s="9"/>
      <c r="BR273" s="9"/>
      <c r="BS273" s="9"/>
      <c r="BT273" s="9"/>
      <c r="BU273" s="9"/>
      <c r="BV273" s="9"/>
      <c r="BW273" s="9"/>
      <c r="BX273" s="9"/>
      <c r="BY273" s="9"/>
      <c r="BZ273" s="9"/>
      <c r="CA273" s="9"/>
      <c r="CB273" s="9"/>
      <c r="CC273" s="9"/>
      <c r="CD273" s="9"/>
      <c r="CE273" s="9"/>
      <c r="CF273" s="9"/>
      <c r="CG273" s="9"/>
      <c r="CH273" s="9"/>
      <c r="CI273" s="9"/>
      <c r="CJ273" s="9"/>
      <c r="CK273" s="9"/>
    </row>
    <row r="274" spans="1:89" ht="14.1" customHeight="1" x14ac:dyDescent="0.25">
      <c r="A274" s="142"/>
      <c r="B274" s="143"/>
      <c r="C274" s="144"/>
      <c r="D274" s="11" t="s">
        <v>181</v>
      </c>
      <c r="E274" s="39" t="s">
        <v>377</v>
      </c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9"/>
      <c r="BI274" s="9"/>
      <c r="BJ274" s="9"/>
      <c r="BK274" s="9"/>
      <c r="BL274" s="9"/>
      <c r="BM274" s="9"/>
      <c r="BN274" s="9"/>
      <c r="BO274" s="9"/>
      <c r="BP274" s="9"/>
      <c r="BQ274" s="9"/>
      <c r="BR274" s="9"/>
      <c r="BS274" s="9"/>
      <c r="BT274" s="9"/>
      <c r="BU274" s="9"/>
      <c r="BV274" s="9"/>
      <c r="BW274" s="9"/>
      <c r="BX274" s="9"/>
      <c r="BY274" s="9"/>
      <c r="BZ274" s="9"/>
      <c r="CA274" s="9"/>
      <c r="CB274" s="9"/>
      <c r="CC274" s="9"/>
      <c r="CD274" s="9"/>
      <c r="CE274" s="9"/>
      <c r="CF274" s="9"/>
      <c r="CG274" s="9"/>
      <c r="CH274" s="9"/>
      <c r="CI274" s="9"/>
      <c r="CJ274" s="9"/>
      <c r="CK274" s="9"/>
    </row>
    <row r="275" spans="1:89" ht="14.1" customHeight="1" x14ac:dyDescent="0.25">
      <c r="A275" s="142"/>
      <c r="B275" s="143"/>
      <c r="C275" s="144"/>
      <c r="D275" s="11" t="s">
        <v>182</v>
      </c>
      <c r="E275" s="39" t="s">
        <v>378</v>
      </c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9"/>
      <c r="BI275" s="9"/>
      <c r="BJ275" s="9"/>
      <c r="BK275" s="9"/>
      <c r="BL275" s="9"/>
      <c r="BM275" s="9"/>
      <c r="BN275" s="9"/>
      <c r="BO275" s="9"/>
      <c r="BP275" s="9"/>
      <c r="BQ275" s="9"/>
      <c r="BR275" s="9"/>
      <c r="BS275" s="9"/>
      <c r="BT275" s="9"/>
      <c r="BU275" s="9"/>
      <c r="BV275" s="9"/>
      <c r="BW275" s="9"/>
      <c r="BX275" s="9"/>
      <c r="BY275" s="9"/>
      <c r="BZ275" s="9"/>
      <c r="CA275" s="9"/>
      <c r="CB275" s="9"/>
      <c r="CC275" s="9"/>
      <c r="CD275" s="9"/>
      <c r="CE275" s="9"/>
      <c r="CF275" s="9"/>
      <c r="CG275" s="9"/>
      <c r="CH275" s="9"/>
      <c r="CI275" s="9"/>
      <c r="CJ275" s="9"/>
      <c r="CK275" s="9"/>
    </row>
    <row r="276" spans="1:89" ht="14.1" customHeight="1" x14ac:dyDescent="0.25">
      <c r="A276" s="142"/>
      <c r="B276" s="143"/>
      <c r="C276" s="144"/>
      <c r="D276" s="11" t="s">
        <v>183</v>
      </c>
      <c r="E276" s="39" t="s">
        <v>379</v>
      </c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9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9"/>
      <c r="CF276" s="9"/>
      <c r="CG276" s="9"/>
      <c r="CH276" s="9"/>
      <c r="CI276" s="9"/>
      <c r="CJ276" s="9"/>
      <c r="CK276" s="9"/>
    </row>
    <row r="277" spans="1:89" ht="14.1" customHeight="1" x14ac:dyDescent="0.25">
      <c r="A277" s="142"/>
      <c r="B277" s="143"/>
      <c r="C277" s="144"/>
      <c r="D277" s="11" t="s">
        <v>184</v>
      </c>
      <c r="E277" s="39" t="s">
        <v>380</v>
      </c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  <c r="BZ277" s="9"/>
      <c r="CA277" s="9"/>
      <c r="CB277" s="9"/>
      <c r="CC277" s="9"/>
      <c r="CD277" s="9"/>
      <c r="CE277" s="9"/>
      <c r="CF277" s="9"/>
      <c r="CG277" s="9"/>
      <c r="CH277" s="9"/>
      <c r="CI277" s="9"/>
      <c r="CJ277" s="9"/>
      <c r="CK277" s="9"/>
    </row>
    <row r="278" spans="1:89" ht="14.1" customHeight="1" x14ac:dyDescent="0.25">
      <c r="A278" s="142"/>
      <c r="B278" s="143"/>
      <c r="C278" s="144"/>
      <c r="D278" s="11" t="s">
        <v>185</v>
      </c>
      <c r="E278" s="39" t="s">
        <v>381</v>
      </c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9"/>
      <c r="BI278" s="9"/>
      <c r="BJ278" s="9"/>
      <c r="BK278" s="9"/>
      <c r="BL278" s="9"/>
      <c r="BM278" s="9"/>
      <c r="BN278" s="9"/>
      <c r="BO278" s="9"/>
      <c r="BP278" s="9"/>
      <c r="BQ278" s="9"/>
      <c r="BR278" s="9"/>
      <c r="BS278" s="9"/>
      <c r="BT278" s="9"/>
      <c r="BU278" s="9"/>
      <c r="BV278" s="9"/>
      <c r="BW278" s="9"/>
      <c r="BX278" s="9"/>
      <c r="BY278" s="9"/>
      <c r="BZ278" s="9"/>
      <c r="CA278" s="9"/>
      <c r="CB278" s="9"/>
      <c r="CC278" s="9"/>
      <c r="CD278" s="9"/>
      <c r="CE278" s="9"/>
      <c r="CF278" s="9"/>
      <c r="CG278" s="9"/>
      <c r="CH278" s="9"/>
      <c r="CI278" s="9"/>
      <c r="CJ278" s="9"/>
      <c r="CK278" s="9"/>
    </row>
    <row r="279" spans="1:89" ht="14.1" customHeight="1" x14ac:dyDescent="0.25">
      <c r="A279" s="142"/>
      <c r="B279" s="143"/>
      <c r="C279" s="144"/>
      <c r="D279" s="11" t="s">
        <v>186</v>
      </c>
      <c r="E279" s="39" t="s">
        <v>382</v>
      </c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9"/>
      <c r="BI279" s="9"/>
      <c r="BJ279" s="9"/>
      <c r="BK279" s="9"/>
      <c r="BL279" s="9"/>
      <c r="BM279" s="9"/>
      <c r="BN279" s="9"/>
      <c r="BO279" s="9"/>
      <c r="BP279" s="9"/>
      <c r="BQ279" s="9"/>
      <c r="BR279" s="9"/>
      <c r="BS279" s="9"/>
      <c r="BT279" s="9"/>
      <c r="BU279" s="9"/>
      <c r="BV279" s="9"/>
      <c r="BW279" s="9"/>
      <c r="BX279" s="9"/>
      <c r="BY279" s="9"/>
      <c r="BZ279" s="9"/>
      <c r="CA279" s="9"/>
      <c r="CB279" s="9"/>
      <c r="CC279" s="9"/>
      <c r="CD279" s="9"/>
      <c r="CE279" s="9"/>
      <c r="CF279" s="9"/>
      <c r="CG279" s="9"/>
      <c r="CH279" s="9"/>
      <c r="CI279" s="9"/>
      <c r="CJ279" s="9"/>
      <c r="CK279" s="9"/>
    </row>
    <row r="280" spans="1:89" ht="14.1" customHeight="1" x14ac:dyDescent="0.25">
      <c r="A280" s="142"/>
      <c r="B280" s="143"/>
      <c r="C280" s="144"/>
      <c r="D280" s="11" t="s">
        <v>187</v>
      </c>
      <c r="E280" s="39" t="s">
        <v>383</v>
      </c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  <c r="BZ280" s="9"/>
      <c r="CA280" s="9"/>
      <c r="CB280" s="9"/>
      <c r="CC280" s="9"/>
      <c r="CD280" s="9"/>
      <c r="CE280" s="9"/>
      <c r="CF280" s="9"/>
      <c r="CG280" s="9"/>
      <c r="CH280" s="9"/>
      <c r="CI280" s="9"/>
      <c r="CJ280" s="9"/>
      <c r="CK280" s="9"/>
    </row>
    <row r="281" spans="1:89" ht="14.1" customHeight="1" x14ac:dyDescent="0.25">
      <c r="A281" s="142"/>
      <c r="B281" s="143"/>
      <c r="C281" s="144"/>
      <c r="D281" s="11" t="s">
        <v>178</v>
      </c>
      <c r="E281" s="39" t="s">
        <v>391</v>
      </c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9"/>
      <c r="BI281" s="9"/>
      <c r="BJ281" s="9"/>
      <c r="BK281" s="9"/>
      <c r="BL281" s="9"/>
      <c r="BM281" s="9"/>
      <c r="BN281" s="9"/>
      <c r="BO281" s="9"/>
      <c r="BP281" s="9"/>
      <c r="BQ281" s="9"/>
      <c r="BR281" s="9"/>
      <c r="BS281" s="9"/>
      <c r="BT281" s="9"/>
      <c r="BU281" s="9"/>
      <c r="BV281" s="9"/>
      <c r="BW281" s="9"/>
      <c r="BX281" s="9"/>
      <c r="BY281" s="9"/>
      <c r="BZ281" s="9"/>
      <c r="CA281" s="9"/>
      <c r="CB281" s="9"/>
      <c r="CC281" s="9"/>
      <c r="CD281" s="9"/>
      <c r="CE281" s="9"/>
      <c r="CF281" s="9"/>
      <c r="CG281" s="9"/>
      <c r="CH281" s="9"/>
      <c r="CI281" s="9"/>
      <c r="CJ281" s="9"/>
      <c r="CK281" s="9"/>
    </row>
    <row r="282" spans="1:89" ht="14.1" customHeight="1" x14ac:dyDescent="0.25">
      <c r="A282" s="142"/>
      <c r="B282" s="143"/>
      <c r="C282" s="144"/>
      <c r="D282" s="11" t="s">
        <v>179</v>
      </c>
      <c r="E282" s="39" t="s">
        <v>392</v>
      </c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9"/>
      <c r="BI282" s="9"/>
      <c r="BJ282" s="9"/>
      <c r="BK282" s="9"/>
      <c r="BL282" s="9"/>
      <c r="BM282" s="9"/>
      <c r="BN282" s="9"/>
      <c r="BO282" s="9"/>
      <c r="BP282" s="9"/>
      <c r="BQ282" s="9"/>
      <c r="BR282" s="9"/>
      <c r="BS282" s="9"/>
      <c r="BT282" s="9"/>
      <c r="BU282" s="9"/>
      <c r="BV282" s="9"/>
      <c r="BW282" s="9"/>
      <c r="BX282" s="9"/>
      <c r="BY282" s="9"/>
      <c r="BZ282" s="9"/>
      <c r="CA282" s="9"/>
      <c r="CB282" s="9"/>
      <c r="CC282" s="9"/>
      <c r="CD282" s="9"/>
      <c r="CE282" s="9"/>
      <c r="CF282" s="9"/>
      <c r="CG282" s="9"/>
      <c r="CH282" s="9"/>
      <c r="CI282" s="9"/>
      <c r="CJ282" s="9"/>
      <c r="CK282" s="9"/>
    </row>
    <row r="283" spans="1:89" ht="14.1" customHeight="1" x14ac:dyDescent="0.25">
      <c r="A283" s="142"/>
      <c r="B283" s="143"/>
      <c r="C283" s="144"/>
      <c r="D283" s="11" t="s">
        <v>180</v>
      </c>
      <c r="E283" s="39" t="s">
        <v>393</v>
      </c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9"/>
      <c r="BI283" s="9"/>
      <c r="BJ283" s="9"/>
      <c r="BK283" s="9"/>
      <c r="BL283" s="9"/>
      <c r="BM283" s="9"/>
      <c r="BN283" s="9"/>
      <c r="BO283" s="9"/>
      <c r="BP283" s="9"/>
      <c r="BQ283" s="9"/>
      <c r="BR283" s="9"/>
      <c r="BS283" s="9"/>
      <c r="BT283" s="9"/>
      <c r="BU283" s="9"/>
      <c r="BV283" s="9"/>
      <c r="BW283" s="9"/>
      <c r="BX283" s="9"/>
      <c r="BY283" s="9"/>
      <c r="BZ283" s="9"/>
      <c r="CA283" s="9"/>
      <c r="CB283" s="9"/>
      <c r="CC283" s="9"/>
      <c r="CD283" s="9"/>
      <c r="CE283" s="9"/>
      <c r="CF283" s="9"/>
      <c r="CG283" s="9"/>
      <c r="CH283" s="9"/>
      <c r="CI283" s="9"/>
      <c r="CJ283" s="9"/>
      <c r="CK283" s="9"/>
    </row>
    <row r="284" spans="1:89" ht="14.1" customHeight="1" x14ac:dyDescent="0.25">
      <c r="A284" s="142"/>
      <c r="B284" s="143"/>
      <c r="C284" s="144"/>
      <c r="D284" s="11" t="s">
        <v>181</v>
      </c>
      <c r="E284" s="39" t="s">
        <v>394</v>
      </c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9"/>
      <c r="BI284" s="9"/>
      <c r="BJ284" s="9"/>
      <c r="BK284" s="9"/>
      <c r="BL284" s="9"/>
      <c r="BM284" s="9"/>
      <c r="BN284" s="9"/>
      <c r="BO284" s="9"/>
      <c r="BP284" s="9"/>
      <c r="BQ284" s="9"/>
      <c r="BR284" s="9"/>
      <c r="BS284" s="9"/>
      <c r="BT284" s="9"/>
      <c r="BU284" s="9"/>
      <c r="BV284" s="9"/>
      <c r="BW284" s="9"/>
      <c r="BX284" s="9"/>
      <c r="BY284" s="9"/>
      <c r="BZ284" s="9"/>
      <c r="CA284" s="9"/>
      <c r="CB284" s="9"/>
      <c r="CC284" s="9"/>
      <c r="CD284" s="9"/>
      <c r="CE284" s="9"/>
      <c r="CF284" s="9"/>
      <c r="CG284" s="9"/>
      <c r="CH284" s="9"/>
      <c r="CI284" s="9"/>
      <c r="CJ284" s="9"/>
      <c r="CK284" s="9"/>
    </row>
    <row r="285" spans="1:89" ht="14.1" customHeight="1" x14ac:dyDescent="0.25">
      <c r="A285" s="142"/>
      <c r="B285" s="143"/>
      <c r="C285" s="144"/>
      <c r="D285" s="11" t="s">
        <v>182</v>
      </c>
      <c r="E285" s="39" t="s">
        <v>395</v>
      </c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9"/>
      <c r="BI285" s="9"/>
      <c r="BJ285" s="9"/>
      <c r="BK285" s="9"/>
      <c r="BL285" s="9"/>
      <c r="BM285" s="9"/>
      <c r="BN285" s="9"/>
      <c r="BO285" s="9"/>
      <c r="BP285" s="9"/>
      <c r="BQ285" s="9"/>
      <c r="BR285" s="9"/>
      <c r="BS285" s="9"/>
      <c r="BT285" s="9"/>
      <c r="BU285" s="9"/>
      <c r="BV285" s="9"/>
      <c r="BW285" s="9"/>
      <c r="BX285" s="9"/>
      <c r="BY285" s="9"/>
      <c r="BZ285" s="9"/>
      <c r="CA285" s="9"/>
      <c r="CB285" s="9"/>
      <c r="CC285" s="9"/>
      <c r="CD285" s="9"/>
      <c r="CE285" s="9"/>
      <c r="CF285" s="9"/>
      <c r="CG285" s="9"/>
      <c r="CH285" s="9"/>
      <c r="CI285" s="9"/>
      <c r="CJ285" s="9"/>
      <c r="CK285" s="9"/>
    </row>
    <row r="286" spans="1:89" ht="14.1" customHeight="1" x14ac:dyDescent="0.25">
      <c r="A286" s="142"/>
      <c r="B286" s="143"/>
      <c r="C286" s="144"/>
      <c r="D286" s="11" t="s">
        <v>183</v>
      </c>
      <c r="E286" s="39" t="s">
        <v>396</v>
      </c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9"/>
      <c r="BI286" s="9"/>
      <c r="BJ286" s="9"/>
      <c r="BK286" s="9"/>
      <c r="BL286" s="9"/>
      <c r="BM286" s="9"/>
      <c r="BN286" s="9"/>
      <c r="BO286" s="9"/>
      <c r="BP286" s="9"/>
      <c r="BQ286" s="9"/>
      <c r="BR286" s="9"/>
      <c r="BS286" s="9"/>
      <c r="BT286" s="9"/>
      <c r="BU286" s="9"/>
      <c r="BV286" s="9"/>
      <c r="BW286" s="9"/>
      <c r="BX286" s="9"/>
      <c r="BY286" s="9"/>
      <c r="BZ286" s="9"/>
      <c r="CA286" s="9"/>
      <c r="CB286" s="9"/>
      <c r="CC286" s="9"/>
      <c r="CD286" s="9"/>
      <c r="CE286" s="9"/>
      <c r="CF286" s="9"/>
    </row>
    <row r="287" spans="1:89" ht="14.1" customHeight="1" x14ac:dyDescent="0.25">
      <c r="A287" s="142"/>
      <c r="B287" s="143"/>
      <c r="C287" s="144"/>
      <c r="D287" s="11" t="s">
        <v>184</v>
      </c>
      <c r="E287" s="39" t="s">
        <v>397</v>
      </c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9"/>
      <c r="BI287" s="9"/>
      <c r="BJ287" s="9"/>
      <c r="BK287" s="9"/>
      <c r="BL287" s="9"/>
      <c r="BM287" s="9"/>
      <c r="BN287" s="9"/>
      <c r="BO287" s="9"/>
      <c r="BP287" s="9"/>
      <c r="BQ287" s="9"/>
      <c r="BR287" s="9"/>
      <c r="BS287" s="9"/>
      <c r="BT287" s="9"/>
      <c r="BU287" s="9"/>
      <c r="BV287" s="9"/>
      <c r="BW287" s="9"/>
      <c r="BX287" s="9"/>
      <c r="BY287" s="9"/>
      <c r="BZ287" s="9"/>
      <c r="CA287" s="9"/>
      <c r="CB287" s="9"/>
      <c r="CC287" s="9"/>
      <c r="CD287" s="9"/>
      <c r="CE287" s="9"/>
      <c r="CF287" s="9"/>
    </row>
    <row r="288" spans="1:89" ht="14.1" customHeight="1" x14ac:dyDescent="0.25">
      <c r="A288" s="142"/>
      <c r="B288" s="143"/>
      <c r="C288" s="144"/>
      <c r="D288" s="11" t="s">
        <v>185</v>
      </c>
      <c r="E288" s="39" t="s">
        <v>398</v>
      </c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9"/>
      <c r="BI288" s="9"/>
      <c r="BJ288" s="9"/>
      <c r="BK288" s="9"/>
      <c r="BL288" s="9"/>
      <c r="BM288" s="9"/>
      <c r="BN288" s="9"/>
      <c r="BO288" s="9"/>
      <c r="BP288" s="9"/>
      <c r="BQ288" s="9"/>
      <c r="BR288" s="9"/>
      <c r="BS288" s="9"/>
      <c r="BT288" s="9"/>
      <c r="BU288" s="9"/>
      <c r="BV288" s="9"/>
      <c r="BW288" s="9"/>
      <c r="BX288" s="9"/>
      <c r="BY288" s="9"/>
      <c r="BZ288" s="9"/>
      <c r="CA288" s="9"/>
      <c r="CB288" s="9"/>
      <c r="CC288" s="9"/>
      <c r="CD288" s="9"/>
      <c r="CE288" s="9"/>
      <c r="CF288" s="9"/>
    </row>
    <row r="289" spans="1:89" ht="14.1" customHeight="1" x14ac:dyDescent="0.25">
      <c r="A289" s="142"/>
      <c r="B289" s="143"/>
      <c r="C289" s="144"/>
      <c r="D289" s="11" t="s">
        <v>186</v>
      </c>
      <c r="E289" s="39" t="s">
        <v>399</v>
      </c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9"/>
      <c r="BH289" s="9"/>
      <c r="BI289" s="9"/>
      <c r="BJ289" s="9"/>
      <c r="BK289" s="9"/>
      <c r="BL289" s="9"/>
      <c r="BM289" s="9"/>
      <c r="BN289" s="9"/>
      <c r="BO289" s="9"/>
      <c r="BP289" s="9"/>
      <c r="BQ289" s="9"/>
      <c r="BR289" s="9"/>
      <c r="BS289" s="9"/>
      <c r="BT289" s="9"/>
      <c r="BU289" s="9"/>
      <c r="BV289" s="9"/>
      <c r="BW289" s="9"/>
      <c r="BX289" s="9"/>
      <c r="BY289" s="9"/>
      <c r="BZ289" s="9"/>
      <c r="CA289" s="9"/>
      <c r="CB289" s="9"/>
      <c r="CC289" s="9"/>
      <c r="CD289" s="9"/>
      <c r="CE289" s="9"/>
      <c r="CF289" s="9"/>
    </row>
    <row r="290" spans="1:89" ht="14.1" customHeight="1" thickBot="1" x14ac:dyDescent="0.3">
      <c r="A290" s="145"/>
      <c r="B290" s="146"/>
      <c r="C290" s="147"/>
      <c r="D290" s="12" t="s">
        <v>187</v>
      </c>
      <c r="E290" s="40" t="s">
        <v>400</v>
      </c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9"/>
      <c r="BH290" s="9"/>
      <c r="BI290" s="9"/>
      <c r="BJ290" s="9"/>
      <c r="BK290" s="9"/>
      <c r="BL290" s="9"/>
      <c r="BM290" s="9"/>
      <c r="BN290" s="9"/>
      <c r="BO290" s="9"/>
      <c r="BP290" s="9"/>
      <c r="BQ290" s="9"/>
      <c r="BR290" s="9"/>
      <c r="BS290" s="9"/>
      <c r="BT290" s="9"/>
      <c r="BU290" s="9"/>
      <c r="BV290" s="9"/>
      <c r="BW290" s="9"/>
      <c r="BX290" s="9"/>
      <c r="BY290" s="9"/>
      <c r="BZ290" s="9"/>
      <c r="CA290" s="9"/>
      <c r="CB290" s="9"/>
      <c r="CC290" s="9"/>
      <c r="CD290" s="9"/>
      <c r="CE290" s="9"/>
      <c r="CF290" s="9"/>
    </row>
    <row r="291" spans="1:89" ht="24.95" customHeight="1" x14ac:dyDescent="0.25">
      <c r="A291" s="9"/>
      <c r="B291" s="9"/>
      <c r="C291" s="31"/>
      <c r="D291" s="32" t="str">
        <f>CONCATENATE("Présents : ",COUNTA(D4:D9,D11:D12,D14:D16,D18:D19,D21:D26,D28:D29,D31:D33,D35:D36,D38:D43,D45:D46,D48:D50,D52:D53,D55:D56,D58:D63,D65:D70,D72:D73,D82:D83,D85,D87:D92,D94:D95,D97:D99,D101:D102,D104:D105,D107:D112,D114:D119,D121:D122,D124:D125,D127:D128,D130:D131,D133:D134,D136:D137,D139:D140,D142:D144,D146:D148,D207:D210))</f>
        <v>Présents : 109</v>
      </c>
      <c r="E291" s="9"/>
      <c r="F291" s="16"/>
      <c r="G291" s="16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9"/>
      <c r="BH291" s="9"/>
      <c r="BI291" s="9"/>
      <c r="BJ291" s="9"/>
      <c r="BK291" s="9"/>
      <c r="BL291" s="9"/>
      <c r="BM291" s="9"/>
      <c r="BN291" s="9"/>
      <c r="BO291" s="9"/>
      <c r="BP291" s="9"/>
      <c r="BQ291" s="9"/>
      <c r="BR291" s="9"/>
      <c r="BS291" s="9"/>
      <c r="BT291" s="9"/>
      <c r="BU291" s="9"/>
      <c r="BV291" s="9"/>
      <c r="BW291" s="9"/>
      <c r="BX291" s="9"/>
      <c r="BY291" s="9"/>
      <c r="BZ291" s="9"/>
      <c r="CA291" s="9"/>
      <c r="CB291" s="9"/>
      <c r="CC291" s="9"/>
      <c r="CD291" s="9"/>
      <c r="CE291" s="9"/>
      <c r="CF291" s="9"/>
    </row>
    <row r="292" spans="1:89" ht="24.95" customHeight="1" x14ac:dyDescent="0.25">
      <c r="A292" s="9"/>
      <c r="B292" s="9"/>
      <c r="C292" s="9"/>
      <c r="D292" s="36" t="str">
        <f>CONCATENATE("Repos / Récup : ",COUNTA(D151:D186))</f>
        <v>Repos / Récup : 36</v>
      </c>
      <c r="E292" s="9"/>
      <c r="F292" s="16"/>
      <c r="G292" s="16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9"/>
      <c r="BH292" s="9"/>
      <c r="BI292" s="9"/>
      <c r="BJ292" s="9"/>
      <c r="BK292" s="9"/>
      <c r="BL292" s="9"/>
      <c r="BM292" s="9"/>
      <c r="BN292" s="9"/>
      <c r="BO292" s="9"/>
      <c r="BP292" s="9"/>
      <c r="BQ292" s="9"/>
      <c r="BR292" s="9"/>
      <c r="BS292" s="9"/>
      <c r="BT292" s="9"/>
      <c r="BU292" s="9"/>
      <c r="BV292" s="9"/>
      <c r="BW292" s="9"/>
      <c r="BX292" s="9"/>
      <c r="BY292" s="9"/>
      <c r="BZ292" s="9"/>
      <c r="CA292" s="9"/>
      <c r="CB292" s="9"/>
      <c r="CC292" s="9"/>
      <c r="CD292" s="9"/>
      <c r="CE292" s="9"/>
      <c r="CF292" s="9"/>
    </row>
    <row r="293" spans="1:89" ht="24.95" customHeight="1" x14ac:dyDescent="0.25">
      <c r="A293" s="9"/>
      <c r="B293" s="9"/>
      <c r="C293" s="9"/>
      <c r="D293" s="34" t="str">
        <f>CONCATENATE("Congés VA : ",COUNTA(D235:D270))</f>
        <v>Congés VA : 36</v>
      </c>
      <c r="E293" s="9"/>
      <c r="F293" s="16"/>
      <c r="G293" s="16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9"/>
      <c r="BH293" s="9"/>
      <c r="BI293" s="9"/>
      <c r="BJ293" s="9"/>
      <c r="BK293" s="9"/>
      <c r="BL293" s="9"/>
      <c r="BM293" s="9"/>
      <c r="BN293" s="9"/>
      <c r="BO293" s="9"/>
      <c r="BP293" s="9"/>
      <c r="BQ293" s="9"/>
      <c r="BR293" s="9"/>
      <c r="BS293" s="9"/>
      <c r="BT293" s="9"/>
      <c r="BU293" s="9"/>
      <c r="BV293" s="9"/>
      <c r="BW293" s="9"/>
      <c r="BX293" s="9"/>
      <c r="BY293" s="9"/>
      <c r="BZ293" s="9"/>
      <c r="CA293" s="9"/>
      <c r="CB293" s="9"/>
      <c r="CC293" s="9"/>
      <c r="CD293" s="9"/>
      <c r="CE293" s="9"/>
      <c r="CF293" s="9"/>
    </row>
    <row r="294" spans="1:89" ht="24.95" customHeight="1" x14ac:dyDescent="0.25">
      <c r="A294" s="9"/>
      <c r="B294" s="9"/>
      <c r="C294" s="9"/>
      <c r="D294" s="33" t="str">
        <f>CONCATENATE("Congés : ",COUNTA(D221:D224))</f>
        <v>Congés : 4</v>
      </c>
      <c r="E294" s="9"/>
      <c r="F294" s="16"/>
      <c r="G294" s="16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9"/>
      <c r="BH294" s="9"/>
      <c r="BI294" s="9"/>
      <c r="BJ294" s="9"/>
      <c r="BK294" s="9"/>
      <c r="BL294" s="9"/>
      <c r="BM294" s="9"/>
      <c r="BN294" s="9"/>
      <c r="BO294" s="9"/>
      <c r="BP294" s="9"/>
      <c r="BQ294" s="9"/>
      <c r="BR294" s="9"/>
      <c r="BS294" s="9"/>
      <c r="BT294" s="9"/>
      <c r="BU294" s="9"/>
      <c r="BV294" s="9"/>
      <c r="BW294" s="9"/>
      <c r="BX294" s="9"/>
      <c r="BY294" s="9"/>
      <c r="BZ294" s="9"/>
      <c r="CA294" s="9"/>
      <c r="CB294" s="9"/>
      <c r="CC294" s="9"/>
      <c r="CD294" s="9"/>
      <c r="CE294" s="9"/>
      <c r="CF294" s="9"/>
    </row>
    <row r="295" spans="1:89" ht="24.95" customHeight="1" x14ac:dyDescent="0.25">
      <c r="A295" s="9"/>
      <c r="B295" s="9"/>
      <c r="C295" s="9"/>
      <c r="D295" s="34" t="str">
        <f>CONCATENATE("Malades : ",COUNTA(D187:D206))</f>
        <v>Malades : 20</v>
      </c>
      <c r="E295" s="9"/>
      <c r="F295" s="16"/>
      <c r="G295" s="16"/>
      <c r="H295" s="9"/>
      <c r="I295" s="9"/>
      <c r="J295" s="9"/>
    </row>
    <row r="296" spans="1:89" ht="24.95" customHeight="1" x14ac:dyDescent="0.25">
      <c r="A296" s="9"/>
      <c r="B296" s="9"/>
      <c r="C296" s="9"/>
      <c r="D296" s="33" t="str">
        <f>CONCATENATE("Blessés : ",COUNTA(D229:D234))</f>
        <v>Blessés : 6</v>
      </c>
      <c r="E296" s="9"/>
      <c r="F296" s="16"/>
      <c r="G296" s="16"/>
      <c r="H296" s="9"/>
      <c r="I296" s="9"/>
      <c r="J296" s="9"/>
    </row>
    <row r="297" spans="1:89" ht="24.95" customHeight="1" thickBot="1" x14ac:dyDescent="0.3">
      <c r="A297" s="9"/>
      <c r="B297" s="9"/>
      <c r="C297" s="9"/>
      <c r="D297" s="35" t="str">
        <f>CONCATENATE("Divers : ",COUNTA(D225:D228))</f>
        <v>Divers : 4</v>
      </c>
      <c r="E297" s="9"/>
      <c r="F297" s="16"/>
      <c r="G297" s="16"/>
      <c r="H297" s="9"/>
      <c r="I297" s="9"/>
      <c r="J297" s="9"/>
    </row>
    <row r="298" spans="1:89" ht="14.1" customHeight="1" x14ac:dyDescent="0.25">
      <c r="A298" s="9"/>
      <c r="B298" s="9"/>
      <c r="C298" s="9"/>
      <c r="D298" s="9"/>
      <c r="E298" s="16"/>
      <c r="F298" s="16"/>
      <c r="G298" s="9"/>
      <c r="H298" s="9"/>
      <c r="I298" s="9"/>
    </row>
    <row r="299" spans="1:89" ht="14.1" customHeight="1" x14ac:dyDescent="0.25">
      <c r="A299" s="9"/>
      <c r="B299" s="9"/>
      <c r="C299" s="9"/>
      <c r="D299" s="9"/>
      <c r="E299" s="16"/>
      <c r="F299" s="16"/>
      <c r="G299" s="9"/>
      <c r="H299" s="9"/>
      <c r="I299" s="9"/>
    </row>
    <row r="300" spans="1:89" ht="14.1" customHeight="1" x14ac:dyDescent="0.25">
      <c r="A300" s="9"/>
      <c r="B300" s="9"/>
      <c r="C300" s="9"/>
      <c r="D300" s="9"/>
      <c r="E300" s="9"/>
      <c r="F300" s="16"/>
      <c r="G300" s="16"/>
      <c r="H300" s="9"/>
      <c r="I300" s="9"/>
      <c r="J300" s="9"/>
    </row>
    <row r="301" spans="1:89" ht="14.1" customHeight="1" x14ac:dyDescent="0.25">
      <c r="A301" s="9"/>
      <c r="B301" s="9"/>
      <c r="C301" s="9"/>
      <c r="D301" s="9"/>
      <c r="E301" s="9"/>
      <c r="F301" s="16"/>
      <c r="G301" s="16"/>
      <c r="H301" s="9"/>
      <c r="I301" s="9"/>
      <c r="J301" s="9"/>
    </row>
    <row r="302" spans="1:89" ht="14.1" customHeight="1" x14ac:dyDescent="0.25">
      <c r="A302" s="9"/>
      <c r="B302" s="9"/>
      <c r="C302" s="9"/>
      <c r="D302" s="9"/>
      <c r="E302" s="9"/>
      <c r="F302" s="16"/>
      <c r="G302" s="16"/>
      <c r="H302" s="9"/>
      <c r="I302" s="9"/>
      <c r="J302" s="9"/>
    </row>
    <row r="303" spans="1:89" ht="14.1" customHeight="1" x14ac:dyDescent="0.25">
      <c r="A303" s="9"/>
      <c r="B303" s="9"/>
      <c r="C303" s="9"/>
      <c r="D303" s="9"/>
      <c r="E303" s="9"/>
      <c r="F303" s="16"/>
      <c r="G303" s="16"/>
      <c r="H303" s="9"/>
      <c r="I303" s="9"/>
      <c r="J303" s="9"/>
    </row>
    <row r="304" spans="1:89" ht="14.1" customHeight="1" x14ac:dyDescent="0.25">
      <c r="A304" s="9"/>
      <c r="B304" s="9"/>
      <c r="C304" s="9"/>
      <c r="D304" s="9"/>
      <c r="E304" s="9"/>
      <c r="F304" s="16"/>
      <c r="G304" s="16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9"/>
      <c r="BH304" s="9"/>
      <c r="BI304" s="9"/>
      <c r="BJ304" s="9"/>
      <c r="BK304" s="9"/>
      <c r="BL304" s="9"/>
      <c r="BM304" s="9"/>
      <c r="BN304" s="9"/>
      <c r="BO304" s="9"/>
      <c r="BP304" s="9"/>
      <c r="BQ304" s="9"/>
      <c r="BR304" s="9"/>
      <c r="BS304" s="9"/>
      <c r="BT304" s="9"/>
      <c r="BU304" s="9"/>
      <c r="BV304" s="9"/>
      <c r="BW304" s="9"/>
      <c r="BX304" s="9"/>
      <c r="BY304" s="9"/>
      <c r="BZ304" s="9"/>
      <c r="CA304" s="9"/>
      <c r="CB304" s="9"/>
      <c r="CC304" s="9"/>
      <c r="CD304" s="9"/>
      <c r="CE304" s="9"/>
      <c r="CF304" s="9"/>
      <c r="CG304" s="9"/>
      <c r="CH304" s="9"/>
      <c r="CI304" s="9"/>
      <c r="CJ304" s="9"/>
      <c r="CK304" s="9"/>
    </row>
    <row r="305" spans="1:89" ht="14.1" customHeight="1" x14ac:dyDescent="0.25">
      <c r="A305" s="9"/>
      <c r="B305" s="9"/>
      <c r="C305" s="9"/>
      <c r="D305" s="9"/>
      <c r="E305" s="9"/>
      <c r="F305" s="16"/>
      <c r="G305" s="16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9"/>
      <c r="BH305" s="9"/>
      <c r="BI305" s="9"/>
      <c r="BJ305" s="9"/>
      <c r="BK305" s="9"/>
      <c r="BL305" s="9"/>
      <c r="BM305" s="9"/>
      <c r="BN305" s="9"/>
      <c r="BO305" s="9"/>
      <c r="BP305" s="9"/>
      <c r="BQ305" s="9"/>
      <c r="BR305" s="9"/>
      <c r="BS305" s="9"/>
      <c r="BT305" s="9"/>
      <c r="BU305" s="9"/>
      <c r="BV305" s="9"/>
      <c r="BW305" s="9"/>
      <c r="BX305" s="9"/>
      <c r="BY305" s="9"/>
      <c r="BZ305" s="9"/>
      <c r="CA305" s="9"/>
      <c r="CB305" s="9"/>
      <c r="CC305" s="9"/>
      <c r="CD305" s="9"/>
      <c r="CE305" s="9"/>
      <c r="CF305" s="9"/>
      <c r="CG305" s="9"/>
      <c r="CH305" s="9"/>
      <c r="CI305" s="9"/>
      <c r="CJ305" s="9"/>
      <c r="CK305" s="9"/>
    </row>
    <row r="306" spans="1:89" ht="14.1" customHeight="1" x14ac:dyDescent="0.25">
      <c r="A306" s="9"/>
      <c r="B306" s="9"/>
      <c r="C306" s="9"/>
      <c r="D306" s="9"/>
      <c r="E306" s="9"/>
      <c r="F306" s="16"/>
      <c r="G306" s="16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9"/>
      <c r="BH306" s="9"/>
      <c r="BI306" s="9"/>
      <c r="BJ306" s="9"/>
      <c r="BK306" s="9"/>
      <c r="BL306" s="9"/>
      <c r="BM306" s="9"/>
      <c r="BN306" s="9"/>
      <c r="BO306" s="9"/>
      <c r="BP306" s="9"/>
      <c r="BQ306" s="9"/>
      <c r="BR306" s="9"/>
      <c r="BS306" s="9"/>
      <c r="BT306" s="9"/>
      <c r="BU306" s="9"/>
      <c r="BV306" s="9"/>
      <c r="BW306" s="9"/>
      <c r="BX306" s="9"/>
      <c r="BY306" s="9"/>
      <c r="BZ306" s="9"/>
      <c r="CA306" s="9"/>
      <c r="CB306" s="9"/>
      <c r="CC306" s="9"/>
      <c r="CD306" s="9"/>
      <c r="CE306" s="9"/>
      <c r="CF306" s="9"/>
      <c r="CG306" s="9"/>
      <c r="CH306" s="9"/>
      <c r="CI306" s="9"/>
      <c r="CJ306" s="9"/>
      <c r="CK306" s="9"/>
    </row>
    <row r="307" spans="1:89" ht="14.1" customHeight="1" x14ac:dyDescent="0.25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9"/>
      <c r="BH307" s="9"/>
      <c r="BI307" s="9"/>
      <c r="BJ307" s="9"/>
      <c r="BK307" s="9"/>
      <c r="BL307" s="9"/>
      <c r="BM307" s="9"/>
      <c r="BN307" s="9"/>
      <c r="BO307" s="9"/>
      <c r="BP307" s="9"/>
      <c r="BQ307" s="9"/>
      <c r="BR307" s="9"/>
      <c r="BS307" s="9"/>
      <c r="BT307" s="9"/>
      <c r="BU307" s="9"/>
      <c r="BV307" s="9"/>
      <c r="BW307" s="9"/>
      <c r="BX307" s="9"/>
      <c r="BY307" s="9"/>
      <c r="BZ307" s="9"/>
      <c r="CA307" s="9"/>
      <c r="CB307" s="9"/>
      <c r="CC307" s="9"/>
      <c r="CD307" s="9"/>
      <c r="CE307" s="9"/>
      <c r="CF307" s="9"/>
      <c r="CG307" s="9"/>
      <c r="CH307" s="9"/>
      <c r="CI307" s="9"/>
      <c r="CJ307" s="9"/>
      <c r="CK307" s="9"/>
    </row>
    <row r="308" spans="1:89" ht="14.1" customHeight="1" x14ac:dyDescent="0.25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9"/>
      <c r="BH308" s="9"/>
      <c r="BI308" s="9"/>
      <c r="BJ308" s="9"/>
      <c r="BK308" s="9"/>
      <c r="BL308" s="9"/>
      <c r="BM308" s="9"/>
      <c r="BN308" s="9"/>
      <c r="BO308" s="9"/>
      <c r="BP308" s="9"/>
      <c r="BQ308" s="9"/>
      <c r="BR308" s="9"/>
      <c r="BS308" s="9"/>
      <c r="BT308" s="9"/>
      <c r="BU308" s="9"/>
      <c r="BV308" s="9"/>
      <c r="BW308" s="9"/>
      <c r="BX308" s="9"/>
      <c r="BY308" s="9"/>
      <c r="BZ308" s="9"/>
      <c r="CA308" s="9"/>
      <c r="CB308" s="9"/>
      <c r="CC308" s="9"/>
      <c r="CD308" s="9"/>
      <c r="CE308" s="9"/>
      <c r="CF308" s="9"/>
      <c r="CG308" s="9"/>
      <c r="CH308" s="9"/>
      <c r="CI308" s="9"/>
      <c r="CJ308" s="9"/>
      <c r="CK308" s="9"/>
    </row>
    <row r="309" spans="1:89" ht="14.1" customHeight="1" x14ac:dyDescent="0.25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9"/>
      <c r="BH309" s="9"/>
      <c r="BI309" s="9"/>
      <c r="BJ309" s="9"/>
      <c r="BK309" s="9"/>
      <c r="BL309" s="9"/>
      <c r="BM309" s="9"/>
      <c r="BN309" s="9"/>
      <c r="BO309" s="9"/>
      <c r="BP309" s="9"/>
      <c r="BQ309" s="9"/>
      <c r="BR309" s="9"/>
      <c r="BS309" s="9"/>
      <c r="BT309" s="9"/>
      <c r="BU309" s="9"/>
      <c r="BV309" s="9"/>
      <c r="BW309" s="9"/>
      <c r="BX309" s="9"/>
      <c r="BY309" s="9"/>
      <c r="BZ309" s="9"/>
      <c r="CA309" s="9"/>
      <c r="CB309" s="9"/>
      <c r="CC309" s="9"/>
      <c r="CD309" s="9"/>
      <c r="CE309" s="9"/>
      <c r="CF309" s="9"/>
      <c r="CG309" s="9"/>
      <c r="CH309" s="9"/>
      <c r="CI309" s="9"/>
      <c r="CJ309" s="9"/>
      <c r="CK309" s="9"/>
    </row>
    <row r="310" spans="1:89" ht="14.1" customHeight="1" x14ac:dyDescent="0.25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9"/>
      <c r="BH310" s="9"/>
      <c r="BI310" s="9"/>
      <c r="BJ310" s="9"/>
      <c r="BK310" s="9"/>
      <c r="BL310" s="9"/>
      <c r="BM310" s="9"/>
      <c r="BN310" s="9"/>
      <c r="BO310" s="9"/>
      <c r="BP310" s="9"/>
      <c r="BQ310" s="9"/>
      <c r="BR310" s="9"/>
      <c r="BS310" s="9"/>
      <c r="BT310" s="9"/>
      <c r="BU310" s="9"/>
      <c r="BV310" s="9"/>
      <c r="BW310" s="9"/>
      <c r="BX310" s="9"/>
      <c r="BY310" s="9"/>
      <c r="BZ310" s="9"/>
      <c r="CA310" s="9"/>
      <c r="CB310" s="9"/>
      <c r="CC310" s="9"/>
      <c r="CD310" s="9"/>
      <c r="CE310" s="9"/>
      <c r="CF310" s="9"/>
      <c r="CG310" s="9"/>
      <c r="CH310" s="9"/>
      <c r="CI310" s="9"/>
      <c r="CJ310" s="9"/>
      <c r="CK310" s="9"/>
    </row>
    <row r="311" spans="1:89" ht="14.1" customHeight="1" x14ac:dyDescent="0.25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9"/>
      <c r="BH311" s="9"/>
      <c r="BI311" s="9"/>
      <c r="BJ311" s="9"/>
      <c r="BK311" s="9"/>
      <c r="BL311" s="9"/>
      <c r="BM311" s="9"/>
      <c r="BN311" s="9"/>
      <c r="BO311" s="9"/>
      <c r="BP311" s="9"/>
      <c r="BQ311" s="9"/>
      <c r="BR311" s="9"/>
      <c r="BS311" s="9"/>
      <c r="BT311" s="9"/>
      <c r="BU311" s="9"/>
      <c r="BV311" s="9"/>
      <c r="BW311" s="9"/>
      <c r="BX311" s="9"/>
      <c r="BY311" s="9"/>
      <c r="BZ311" s="9"/>
      <c r="CA311" s="9"/>
      <c r="CB311" s="9"/>
      <c r="CC311" s="9"/>
      <c r="CD311" s="9"/>
      <c r="CE311" s="9"/>
      <c r="CF311" s="9"/>
      <c r="CG311" s="9"/>
      <c r="CH311" s="9"/>
      <c r="CI311" s="9"/>
      <c r="CJ311" s="9"/>
      <c r="CK311" s="9"/>
    </row>
    <row r="312" spans="1:89" ht="14.1" customHeight="1" x14ac:dyDescent="0.25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9"/>
      <c r="BH312" s="9"/>
      <c r="BI312" s="9"/>
      <c r="BJ312" s="9"/>
      <c r="BK312" s="9"/>
      <c r="BL312" s="9"/>
      <c r="BM312" s="9"/>
      <c r="BN312" s="9"/>
      <c r="BO312" s="9"/>
      <c r="BP312" s="9"/>
      <c r="BQ312" s="9"/>
      <c r="BR312" s="9"/>
      <c r="BS312" s="9"/>
      <c r="BT312" s="9"/>
      <c r="BU312" s="9"/>
      <c r="BV312" s="9"/>
      <c r="BW312" s="9"/>
      <c r="BX312" s="9"/>
      <c r="BY312" s="9"/>
      <c r="BZ312" s="9"/>
      <c r="CA312" s="9"/>
      <c r="CB312" s="9"/>
      <c r="CC312" s="9"/>
      <c r="CD312" s="9"/>
      <c r="CE312" s="9"/>
      <c r="CF312" s="9"/>
    </row>
    <row r="313" spans="1:89" ht="14.1" customHeight="1" x14ac:dyDescent="0.25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9"/>
      <c r="BH313" s="9"/>
      <c r="BI313" s="9"/>
      <c r="BJ313" s="9"/>
      <c r="BK313" s="9"/>
      <c r="BL313" s="9"/>
      <c r="BM313" s="9"/>
      <c r="BN313" s="9"/>
      <c r="BO313" s="9"/>
      <c r="BP313" s="9"/>
      <c r="BQ313" s="9"/>
      <c r="BR313" s="9"/>
      <c r="BS313" s="9"/>
      <c r="BT313" s="9"/>
      <c r="BU313" s="9"/>
      <c r="BV313" s="9"/>
      <c r="BW313" s="9"/>
      <c r="BX313" s="9"/>
      <c r="BY313" s="9"/>
      <c r="BZ313" s="9"/>
      <c r="CA313" s="9"/>
      <c r="CB313" s="9"/>
      <c r="CC313" s="9"/>
      <c r="CD313" s="9"/>
      <c r="CE313" s="9"/>
      <c r="CF313" s="9"/>
    </row>
    <row r="314" spans="1:89" ht="14.1" customHeight="1" x14ac:dyDescent="0.25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9"/>
      <c r="BH314" s="9"/>
      <c r="BI314" s="9"/>
      <c r="BJ314" s="9"/>
      <c r="BK314" s="9"/>
      <c r="BL314" s="9"/>
      <c r="BM314" s="9"/>
      <c r="BN314" s="9"/>
      <c r="BO314" s="9"/>
      <c r="BP314" s="9"/>
      <c r="BQ314" s="9"/>
      <c r="BR314" s="9"/>
      <c r="BS314" s="9"/>
      <c r="BT314" s="9"/>
      <c r="BU314" s="9"/>
      <c r="BV314" s="9"/>
      <c r="BW314" s="9"/>
      <c r="BX314" s="9"/>
      <c r="BY314" s="9"/>
      <c r="BZ314" s="9"/>
      <c r="CA314" s="9"/>
      <c r="CB314" s="9"/>
      <c r="CC314" s="9"/>
      <c r="CD314" s="9"/>
      <c r="CE314" s="9"/>
      <c r="CF314" s="9"/>
    </row>
    <row r="315" spans="1:89" ht="14.1" customHeight="1" x14ac:dyDescent="0.25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9"/>
      <c r="BH315" s="9"/>
      <c r="BI315" s="9"/>
      <c r="BJ315" s="9"/>
      <c r="BK315" s="9"/>
      <c r="BL315" s="9"/>
      <c r="BM315" s="9"/>
      <c r="BN315" s="9"/>
      <c r="BO315" s="9"/>
      <c r="BP315" s="9"/>
      <c r="BQ315" s="9"/>
      <c r="BR315" s="9"/>
      <c r="BS315" s="9"/>
      <c r="BT315" s="9"/>
      <c r="BU315" s="9"/>
      <c r="BV315" s="9"/>
      <c r="BW315" s="9"/>
      <c r="BX315" s="9"/>
      <c r="BY315" s="9"/>
      <c r="BZ315" s="9"/>
      <c r="CA315" s="9"/>
      <c r="CB315" s="9"/>
      <c r="CC315" s="9"/>
      <c r="CD315" s="9"/>
      <c r="CE315" s="9"/>
      <c r="CF315" s="9"/>
    </row>
    <row r="316" spans="1:89" ht="14.1" customHeight="1" x14ac:dyDescent="0.25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9"/>
      <c r="BH316" s="9"/>
      <c r="BI316" s="9"/>
      <c r="BJ316" s="9"/>
      <c r="BK316" s="9"/>
      <c r="BL316" s="9"/>
      <c r="BM316" s="9"/>
      <c r="BN316" s="9"/>
      <c r="BO316" s="9"/>
      <c r="BP316" s="9"/>
      <c r="BQ316" s="9"/>
      <c r="BR316" s="9"/>
      <c r="BS316" s="9"/>
      <c r="BT316" s="9"/>
      <c r="BU316" s="9"/>
      <c r="BV316" s="9"/>
      <c r="BW316" s="9"/>
      <c r="BX316" s="9"/>
      <c r="BY316" s="9"/>
      <c r="BZ316" s="9"/>
      <c r="CA316" s="9"/>
      <c r="CB316" s="9"/>
      <c r="CC316" s="9"/>
      <c r="CD316" s="9"/>
      <c r="CE316" s="9"/>
      <c r="CF316" s="9"/>
    </row>
    <row r="317" spans="1:89" ht="14.1" customHeight="1" x14ac:dyDescent="0.25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9"/>
      <c r="BH317" s="9"/>
      <c r="BI317" s="9"/>
      <c r="BJ317" s="9"/>
      <c r="BK317" s="9"/>
      <c r="BL317" s="9"/>
      <c r="BM317" s="9"/>
      <c r="BN317" s="9"/>
      <c r="BO317" s="9"/>
      <c r="BP317" s="9"/>
      <c r="BQ317" s="9"/>
      <c r="BR317" s="9"/>
      <c r="BS317" s="9"/>
      <c r="BT317" s="9"/>
      <c r="BU317" s="9"/>
      <c r="BV317" s="9"/>
      <c r="BW317" s="9"/>
      <c r="BX317" s="9"/>
      <c r="BY317" s="9"/>
      <c r="BZ317" s="9"/>
      <c r="CA317" s="9"/>
      <c r="CB317" s="9"/>
      <c r="CC317" s="9"/>
      <c r="CD317" s="9"/>
      <c r="CE317" s="9"/>
      <c r="CF317" s="9"/>
    </row>
    <row r="318" spans="1:89" ht="14.1" customHeight="1" x14ac:dyDescent="0.25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9"/>
      <c r="BH318" s="9"/>
      <c r="BI318" s="9"/>
      <c r="BJ318" s="9"/>
      <c r="BK318" s="9"/>
      <c r="BL318" s="9"/>
      <c r="BM318" s="9"/>
      <c r="BN318" s="9"/>
      <c r="BO318" s="9"/>
      <c r="BP318" s="9"/>
      <c r="BQ318" s="9"/>
      <c r="BR318" s="9"/>
      <c r="BS318" s="9"/>
      <c r="BT318" s="9"/>
      <c r="BU318" s="9"/>
      <c r="BV318" s="9"/>
      <c r="BW318" s="9"/>
      <c r="BX318" s="9"/>
      <c r="BY318" s="9"/>
      <c r="BZ318" s="9"/>
      <c r="CA318" s="9"/>
      <c r="CB318" s="9"/>
      <c r="CC318" s="9"/>
      <c r="CD318" s="9"/>
      <c r="CE318" s="9"/>
      <c r="CF318" s="9"/>
    </row>
    <row r="319" spans="1:89" ht="14.1" customHeight="1" x14ac:dyDescent="0.25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9"/>
      <c r="BH319" s="9"/>
      <c r="BI319" s="9"/>
      <c r="BJ319" s="9"/>
      <c r="BK319" s="9"/>
      <c r="BL319" s="9"/>
      <c r="BM319" s="9"/>
      <c r="BN319" s="9"/>
      <c r="BO319" s="9"/>
      <c r="BP319" s="9"/>
      <c r="BQ319" s="9"/>
      <c r="BR319" s="9"/>
      <c r="BS319" s="9"/>
      <c r="BT319" s="9"/>
      <c r="BU319" s="9"/>
      <c r="BV319" s="9"/>
      <c r="BW319" s="9"/>
      <c r="BX319" s="9"/>
      <c r="BY319" s="9"/>
      <c r="BZ319" s="9"/>
      <c r="CA319" s="9"/>
      <c r="CB319" s="9"/>
      <c r="CC319" s="9"/>
      <c r="CD319" s="9"/>
      <c r="CE319" s="9"/>
      <c r="CF319" s="9"/>
    </row>
    <row r="320" spans="1:89" ht="14.1" customHeight="1" x14ac:dyDescent="0.25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9"/>
      <c r="BH320" s="9"/>
      <c r="BI320" s="9"/>
      <c r="BJ320" s="9"/>
      <c r="BK320" s="9"/>
      <c r="BL320" s="9"/>
      <c r="BM320" s="9"/>
      <c r="BN320" s="9"/>
      <c r="BO320" s="9"/>
      <c r="BP320" s="9"/>
      <c r="BQ320" s="9"/>
      <c r="BR320" s="9"/>
      <c r="BS320" s="9"/>
      <c r="BT320" s="9"/>
      <c r="BU320" s="9"/>
      <c r="BV320" s="9"/>
      <c r="BW320" s="9"/>
      <c r="BX320" s="9"/>
      <c r="BY320" s="9"/>
      <c r="BZ320" s="9"/>
      <c r="CA320" s="9"/>
      <c r="CB320" s="9"/>
      <c r="CC320" s="9"/>
      <c r="CD320" s="9"/>
      <c r="CE320" s="9"/>
      <c r="CF320" s="9"/>
    </row>
    <row r="321" spans="1:84" ht="14.1" customHeight="1" x14ac:dyDescent="0.25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9"/>
      <c r="BH321" s="9"/>
      <c r="BI321" s="9"/>
      <c r="BJ321" s="9"/>
      <c r="BK321" s="9"/>
      <c r="BL321" s="9"/>
      <c r="BM321" s="9"/>
      <c r="BN321" s="9"/>
      <c r="BO321" s="9"/>
      <c r="BP321" s="9"/>
      <c r="BQ321" s="9"/>
      <c r="BR321" s="9"/>
      <c r="BS321" s="9"/>
      <c r="BT321" s="9"/>
      <c r="BU321" s="9"/>
      <c r="BV321" s="9"/>
      <c r="BW321" s="9"/>
      <c r="BX321" s="9"/>
      <c r="BY321" s="9"/>
      <c r="BZ321" s="9"/>
      <c r="CA321" s="9"/>
      <c r="CB321" s="9"/>
      <c r="CC321" s="9"/>
      <c r="CD321" s="9"/>
      <c r="CE321" s="9"/>
      <c r="CF321" s="9"/>
    </row>
    <row r="322" spans="1:84" ht="14.1" customHeight="1" x14ac:dyDescent="0.25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9"/>
      <c r="BH322" s="9"/>
      <c r="BI322" s="9"/>
      <c r="BJ322" s="9"/>
      <c r="BK322" s="9"/>
      <c r="BL322" s="9"/>
      <c r="BM322" s="9"/>
      <c r="BN322" s="9"/>
      <c r="BO322" s="9"/>
      <c r="BP322" s="9"/>
      <c r="BQ322" s="9"/>
      <c r="BR322" s="9"/>
      <c r="BS322" s="9"/>
      <c r="BT322" s="9"/>
      <c r="BU322" s="9"/>
      <c r="BV322" s="9"/>
      <c r="BW322" s="9"/>
      <c r="BX322" s="9"/>
      <c r="BY322" s="9"/>
      <c r="BZ322" s="9"/>
      <c r="CA322" s="9"/>
      <c r="CB322" s="9"/>
      <c r="CC322" s="9"/>
      <c r="CD322" s="9"/>
      <c r="CE322" s="9"/>
      <c r="CF322" s="9"/>
    </row>
    <row r="323" spans="1:84" ht="14.1" customHeight="1" x14ac:dyDescent="0.25">
      <c r="A323" s="9"/>
      <c r="B323" s="9"/>
      <c r="C323" s="9"/>
      <c r="D323" s="9"/>
      <c r="E323" s="9"/>
      <c r="F323" s="9"/>
      <c r="G323" s="9"/>
      <c r="H323" s="9"/>
      <c r="I323" s="9"/>
      <c r="J323" s="9"/>
    </row>
    <row r="324" spans="1:84" ht="14.1" customHeight="1" x14ac:dyDescent="0.25">
      <c r="A324" s="9"/>
      <c r="B324" s="9"/>
      <c r="C324" s="9"/>
      <c r="D324" s="9"/>
      <c r="E324" s="9"/>
      <c r="F324" s="9"/>
      <c r="G324" s="9"/>
      <c r="H324" s="9"/>
      <c r="I324" s="9"/>
      <c r="J324" s="9"/>
    </row>
    <row r="325" spans="1:84" ht="14.1" customHeight="1" x14ac:dyDescent="0.25">
      <c r="A325" s="9"/>
      <c r="B325" s="9"/>
      <c r="C325" s="9"/>
      <c r="D325" s="9"/>
      <c r="E325" s="9"/>
      <c r="F325" s="9"/>
      <c r="G325" s="9"/>
      <c r="H325" s="9"/>
      <c r="I325" s="9"/>
      <c r="J325" s="9"/>
    </row>
    <row r="326" spans="1:84" ht="14.1" customHeight="1" x14ac:dyDescent="0.25">
      <c r="A326" s="9"/>
      <c r="B326" s="9"/>
      <c r="C326" s="9"/>
      <c r="D326" s="9"/>
      <c r="E326" s="9"/>
      <c r="F326" s="9"/>
      <c r="G326" s="9"/>
      <c r="H326" s="9"/>
      <c r="I326" s="9"/>
      <c r="J326" s="9"/>
    </row>
    <row r="327" spans="1:84" ht="14.1" customHeight="1" x14ac:dyDescent="0.25">
      <c r="A327" s="9"/>
      <c r="B327" s="9"/>
      <c r="C327" s="9"/>
      <c r="D327" s="9"/>
      <c r="E327" s="9"/>
      <c r="F327" s="9"/>
      <c r="G327" s="9"/>
      <c r="H327" s="9"/>
      <c r="I327" s="9"/>
      <c r="J327" s="9"/>
    </row>
    <row r="328" spans="1:84" ht="14.1" customHeight="1" x14ac:dyDescent="0.25">
      <c r="A328" s="9"/>
      <c r="B328" s="9"/>
      <c r="C328" s="9"/>
      <c r="D328" s="9"/>
      <c r="E328" s="9"/>
      <c r="F328" s="9"/>
      <c r="G328" s="9"/>
      <c r="H328" s="9"/>
      <c r="I328" s="9"/>
      <c r="J328" s="9"/>
    </row>
    <row r="329" spans="1:84" ht="14.1" customHeight="1" x14ac:dyDescent="0.25">
      <c r="A329" s="9"/>
      <c r="B329" s="9"/>
      <c r="C329" s="9"/>
      <c r="D329" s="9"/>
      <c r="E329" s="9"/>
      <c r="F329" s="9"/>
      <c r="G329" s="9"/>
      <c r="H329" s="9"/>
      <c r="I329" s="9"/>
      <c r="J329" s="9"/>
    </row>
    <row r="330" spans="1:84" ht="14.1" customHeight="1" x14ac:dyDescent="0.25">
      <c r="A330" s="9"/>
      <c r="B330" s="9"/>
      <c r="C330" s="9"/>
      <c r="D330" s="9"/>
      <c r="E330" s="9"/>
      <c r="F330" s="9"/>
      <c r="G330" s="9"/>
      <c r="H330" s="9"/>
      <c r="I330" s="9"/>
      <c r="J330" s="9"/>
    </row>
    <row r="331" spans="1:84" ht="14.1" customHeight="1" x14ac:dyDescent="0.25">
      <c r="A331" s="9"/>
      <c r="B331" s="9"/>
      <c r="C331" s="9"/>
      <c r="D331" s="9"/>
      <c r="E331" s="9"/>
      <c r="F331" s="9"/>
      <c r="G331" s="9"/>
      <c r="H331" s="9"/>
      <c r="I331" s="9"/>
      <c r="J331" s="9"/>
    </row>
    <row r="332" spans="1:84" ht="24.95" customHeight="1" x14ac:dyDescent="0.25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</row>
    <row r="333" spans="1:84" ht="24.95" customHeight="1" x14ac:dyDescent="0.25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</row>
    <row r="334" spans="1:84" ht="24.95" customHeight="1" x14ac:dyDescent="0.25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</row>
    <row r="335" spans="1:84" ht="24.95" customHeight="1" x14ac:dyDescent="0.25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</row>
    <row r="336" spans="1:84" ht="24.95" customHeight="1" x14ac:dyDescent="0.25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</row>
    <row r="337" spans="1:15" ht="24.95" customHeight="1" x14ac:dyDescent="0.25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</row>
    <row r="338" spans="1:15" ht="24.95" customHeight="1" x14ac:dyDescent="0.25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</row>
    <row r="339" spans="1:15" ht="24.95" customHeight="1" x14ac:dyDescent="0.25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</row>
    <row r="340" spans="1:15" ht="24.95" customHeight="1" x14ac:dyDescent="0.25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</row>
    <row r="341" spans="1:15" ht="24.95" customHeight="1" x14ac:dyDescent="0.25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</row>
    <row r="342" spans="1:15" ht="24.95" customHeight="1" x14ac:dyDescent="0.25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</row>
    <row r="343" spans="1:15" ht="24.95" customHeight="1" x14ac:dyDescent="0.25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</row>
    <row r="344" spans="1:15" ht="24.95" customHeight="1" x14ac:dyDescent="0.25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</row>
    <row r="345" spans="1:15" ht="24.95" customHeight="1" x14ac:dyDescent="0.25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</row>
    <row r="346" spans="1:15" ht="24.95" customHeight="1" x14ac:dyDescent="0.25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</row>
    <row r="347" spans="1:15" ht="24.95" customHeight="1" x14ac:dyDescent="0.25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</row>
    <row r="348" spans="1:15" ht="24.95" customHeight="1" x14ac:dyDescent="0.25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</row>
    <row r="349" spans="1:15" ht="24.95" customHeight="1" x14ac:dyDescent="0.25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</row>
    <row r="350" spans="1:15" ht="24.95" customHeight="1" x14ac:dyDescent="0.25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</row>
    <row r="351" spans="1:15" ht="24.95" customHeight="1" x14ac:dyDescent="0.25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</row>
    <row r="352" spans="1:15" ht="24.95" customHeight="1" x14ac:dyDescent="0.25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</row>
    <row r="353" spans="1:15" ht="24.95" customHeight="1" x14ac:dyDescent="0.25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</row>
    <row r="354" spans="1:15" ht="24.95" customHeight="1" x14ac:dyDescent="0.25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</row>
    <row r="355" spans="1:15" ht="24.95" customHeight="1" x14ac:dyDescent="0.25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</row>
    <row r="356" spans="1:15" ht="24.95" customHeight="1" x14ac:dyDescent="0.25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</row>
    <row r="357" spans="1:15" ht="24.95" customHeight="1" x14ac:dyDescent="0.25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</row>
    <row r="358" spans="1:15" ht="24.95" customHeight="1" x14ac:dyDescent="0.25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</row>
    <row r="359" spans="1:15" ht="24.95" customHeight="1" x14ac:dyDescent="0.25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</row>
    <row r="360" spans="1:15" ht="24.95" customHeight="1" x14ac:dyDescent="0.25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</row>
    <row r="361" spans="1:15" ht="24.95" customHeight="1" x14ac:dyDescent="0.25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</row>
    <row r="362" spans="1:15" ht="24.95" customHeight="1" x14ac:dyDescent="0.25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</row>
    <row r="363" spans="1:15" ht="24.95" customHeight="1" x14ac:dyDescent="0.25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</row>
    <row r="364" spans="1:15" ht="24.95" customHeight="1" x14ac:dyDescent="0.25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</row>
    <row r="365" spans="1:15" ht="24.95" customHeight="1" x14ac:dyDescent="0.25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</row>
    <row r="366" spans="1:15" ht="24.95" customHeight="1" x14ac:dyDescent="0.25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</row>
    <row r="367" spans="1:15" ht="24.95" customHeight="1" x14ac:dyDescent="0.25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</row>
    <row r="368" spans="1:15" ht="14.1" customHeight="1" x14ac:dyDescent="0.25">
      <c r="A368" s="9"/>
      <c r="B368" s="9"/>
      <c r="C368" s="9"/>
      <c r="D368" s="9"/>
      <c r="E368" s="9"/>
      <c r="F368" s="9"/>
      <c r="G368" s="9"/>
      <c r="H368" s="9"/>
      <c r="I368" s="9"/>
      <c r="J368" s="9"/>
    </row>
    <row r="369" spans="1:89" ht="14.1" customHeight="1" x14ac:dyDescent="0.25">
      <c r="A369" s="9"/>
      <c r="B369" s="9"/>
      <c r="C369" s="9"/>
      <c r="D369" s="9"/>
      <c r="E369" s="9"/>
      <c r="F369" s="9"/>
      <c r="G369" s="9"/>
      <c r="H369" s="9"/>
      <c r="I369" s="9"/>
      <c r="J369" s="9"/>
    </row>
    <row r="370" spans="1:89" ht="14.1" customHeight="1" x14ac:dyDescent="0.25">
      <c r="A370" s="9"/>
      <c r="B370" s="9"/>
      <c r="C370" s="9"/>
      <c r="D370" s="9"/>
      <c r="E370" s="9"/>
      <c r="F370" s="9"/>
      <c r="G370" s="9"/>
      <c r="H370" s="9"/>
      <c r="I370" s="9"/>
      <c r="J370" s="9"/>
    </row>
    <row r="371" spans="1:89" ht="14.1" customHeight="1" x14ac:dyDescent="0.25">
      <c r="A371" s="9"/>
      <c r="B371" s="9"/>
      <c r="C371" s="9"/>
      <c r="D371" s="9"/>
      <c r="E371" s="9"/>
      <c r="F371" s="9"/>
      <c r="G371" s="9"/>
      <c r="H371" s="9"/>
      <c r="I371" s="9"/>
      <c r="J371" s="9"/>
    </row>
    <row r="372" spans="1:89" ht="14.1" customHeight="1" x14ac:dyDescent="0.25">
      <c r="A372" s="9"/>
      <c r="B372" s="9"/>
      <c r="C372" s="9"/>
      <c r="D372" s="9"/>
      <c r="E372" s="9"/>
      <c r="F372" s="9"/>
      <c r="G372" s="9"/>
      <c r="H372" s="9"/>
      <c r="I372" s="9"/>
      <c r="J372" s="9"/>
    </row>
    <row r="373" spans="1:89" ht="14.1" customHeight="1" x14ac:dyDescent="0.25">
      <c r="A373" s="9"/>
      <c r="B373" s="9"/>
      <c r="C373" s="9"/>
      <c r="D373" s="9"/>
      <c r="E373" s="9"/>
      <c r="F373" s="9"/>
      <c r="G373" s="9"/>
      <c r="H373" s="9"/>
      <c r="I373" s="9"/>
      <c r="J373" s="9"/>
    </row>
    <row r="374" spans="1:89" ht="14.1" customHeight="1" x14ac:dyDescent="0.25">
      <c r="A374" s="9"/>
      <c r="B374" s="9"/>
      <c r="C374" s="9"/>
      <c r="D374" s="9"/>
      <c r="E374" s="9"/>
      <c r="F374" s="9"/>
      <c r="G374" s="9"/>
      <c r="H374" s="9"/>
      <c r="I374" s="9"/>
      <c r="J374" s="9"/>
    </row>
    <row r="375" spans="1:89" ht="14.1" customHeight="1" x14ac:dyDescent="0.25">
      <c r="A375" s="9"/>
      <c r="B375" s="9"/>
      <c r="C375" s="9"/>
      <c r="D375" s="9"/>
      <c r="E375" s="9"/>
      <c r="F375" s="9"/>
      <c r="G375" s="9"/>
      <c r="H375" s="9"/>
      <c r="I375" s="9"/>
      <c r="J375" s="9"/>
    </row>
    <row r="376" spans="1:89" ht="14.1" customHeight="1" x14ac:dyDescent="0.25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  <c r="AJ376" s="9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  <c r="BL376" s="9"/>
      <c r="BM376" s="9"/>
      <c r="BN376" s="9"/>
      <c r="BO376" s="9"/>
      <c r="BP376" s="9"/>
      <c r="BQ376" s="9"/>
      <c r="BR376" s="9"/>
      <c r="BS376" s="9"/>
      <c r="BT376" s="9"/>
      <c r="BU376" s="9"/>
      <c r="BV376" s="9"/>
      <c r="BW376" s="9"/>
      <c r="BX376" s="9"/>
      <c r="BY376" s="9"/>
      <c r="BZ376" s="9"/>
      <c r="CA376" s="9"/>
      <c r="CB376" s="9"/>
      <c r="CC376" s="9"/>
      <c r="CD376" s="9"/>
      <c r="CE376" s="9"/>
      <c r="CF376" s="9"/>
      <c r="CG376" s="9"/>
      <c r="CH376" s="9"/>
      <c r="CI376" s="9"/>
      <c r="CJ376" s="9"/>
      <c r="CK376" s="9"/>
    </row>
    <row r="377" spans="1:89" ht="14.1" customHeight="1" x14ac:dyDescent="0.25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  <c r="AJ377" s="9"/>
      <c r="AK377" s="9"/>
      <c r="AL377" s="9"/>
      <c r="AM377" s="9"/>
      <c r="AN377" s="9"/>
      <c r="AO377" s="9"/>
      <c r="AP377" s="9"/>
      <c r="AQ377" s="9"/>
      <c r="AR377" s="9"/>
      <c r="AS377" s="9"/>
      <c r="AT377" s="9"/>
      <c r="AU377" s="9"/>
      <c r="AV377" s="9"/>
      <c r="AW377" s="9"/>
      <c r="AX377" s="9"/>
      <c r="AY377" s="9"/>
      <c r="AZ377" s="9"/>
      <c r="BA377" s="9"/>
      <c r="BB377" s="9"/>
      <c r="BC377" s="9"/>
      <c r="BD377" s="9"/>
      <c r="BE377" s="9"/>
      <c r="BF377" s="9"/>
      <c r="BG377" s="9"/>
      <c r="BH377" s="9"/>
      <c r="BI377" s="9"/>
      <c r="BJ377" s="9"/>
      <c r="BK377" s="9"/>
      <c r="BL377" s="9"/>
      <c r="BM377" s="9"/>
      <c r="BN377" s="9"/>
      <c r="BO377" s="9"/>
      <c r="BP377" s="9"/>
      <c r="BQ377" s="9"/>
      <c r="BR377" s="9"/>
      <c r="BS377" s="9"/>
      <c r="BT377" s="9"/>
      <c r="BU377" s="9"/>
      <c r="BV377" s="9"/>
      <c r="BW377" s="9"/>
      <c r="BX377" s="9"/>
      <c r="BY377" s="9"/>
      <c r="BZ377" s="9"/>
      <c r="CA377" s="9"/>
      <c r="CB377" s="9"/>
      <c r="CC377" s="9"/>
      <c r="CD377" s="9"/>
      <c r="CE377" s="9"/>
      <c r="CF377" s="9"/>
      <c r="CG377" s="9"/>
      <c r="CH377" s="9"/>
      <c r="CI377" s="9"/>
      <c r="CJ377" s="9"/>
      <c r="CK377" s="9"/>
    </row>
    <row r="378" spans="1:89" ht="14.1" customHeight="1" x14ac:dyDescent="0.25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  <c r="AJ378" s="9"/>
      <c r="AK378" s="9"/>
      <c r="AL378" s="9"/>
      <c r="AM378" s="9"/>
      <c r="AN378" s="9"/>
      <c r="AO378" s="9"/>
      <c r="AP378" s="9"/>
      <c r="AQ378" s="9"/>
      <c r="AR378" s="9"/>
      <c r="AS378" s="9"/>
      <c r="AT378" s="9"/>
      <c r="AU378" s="9"/>
      <c r="AV378" s="9"/>
      <c r="AW378" s="9"/>
      <c r="AX378" s="9"/>
      <c r="AY378" s="9"/>
      <c r="AZ378" s="9"/>
      <c r="BA378" s="9"/>
      <c r="BB378" s="9"/>
      <c r="BC378" s="9"/>
      <c r="BD378" s="9"/>
      <c r="BE378" s="9"/>
      <c r="BF378" s="9"/>
      <c r="BG378" s="9"/>
      <c r="BH378" s="9"/>
      <c r="BI378" s="9"/>
      <c r="BJ378" s="9"/>
      <c r="BK378" s="9"/>
      <c r="BL378" s="9"/>
      <c r="BM378" s="9"/>
      <c r="BN378" s="9"/>
      <c r="BO378" s="9"/>
      <c r="BP378" s="9"/>
      <c r="BQ378" s="9"/>
      <c r="BR378" s="9"/>
      <c r="BS378" s="9"/>
      <c r="BT378" s="9"/>
      <c r="BU378" s="9"/>
      <c r="BV378" s="9"/>
      <c r="BW378" s="9"/>
      <c r="BX378" s="9"/>
      <c r="BY378" s="9"/>
      <c r="BZ378" s="9"/>
      <c r="CA378" s="9"/>
      <c r="CB378" s="9"/>
      <c r="CC378" s="9"/>
      <c r="CD378" s="9"/>
      <c r="CE378" s="9"/>
      <c r="CF378" s="9"/>
      <c r="CG378" s="9"/>
      <c r="CH378" s="9"/>
      <c r="CI378" s="9"/>
      <c r="CJ378" s="9"/>
      <c r="CK378" s="9"/>
    </row>
    <row r="379" spans="1:89" ht="14.1" customHeight="1" x14ac:dyDescent="0.25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  <c r="AJ379" s="9"/>
      <c r="AK379" s="9"/>
      <c r="AL379" s="9"/>
      <c r="AM379" s="9"/>
      <c r="AN379" s="9"/>
      <c r="AO379" s="9"/>
      <c r="AP379" s="9"/>
      <c r="AQ379" s="9"/>
      <c r="AR379" s="9"/>
      <c r="AS379" s="9"/>
      <c r="AT379" s="9"/>
      <c r="AU379" s="9"/>
      <c r="AV379" s="9"/>
      <c r="AW379" s="9"/>
      <c r="AX379" s="9"/>
      <c r="AY379" s="9"/>
      <c r="AZ379" s="9"/>
      <c r="BA379" s="9"/>
      <c r="BB379" s="9"/>
      <c r="BC379" s="9"/>
      <c r="BD379" s="9"/>
      <c r="BE379" s="9"/>
      <c r="BF379" s="9"/>
      <c r="BG379" s="9"/>
      <c r="BH379" s="9"/>
      <c r="BI379" s="9"/>
      <c r="BJ379" s="9"/>
      <c r="BK379" s="9"/>
      <c r="BL379" s="9"/>
      <c r="BM379" s="9"/>
      <c r="BN379" s="9"/>
      <c r="BO379" s="9"/>
      <c r="BP379" s="9"/>
      <c r="BQ379" s="9"/>
      <c r="BR379" s="9"/>
      <c r="BS379" s="9"/>
      <c r="BT379" s="9"/>
      <c r="BU379" s="9"/>
      <c r="BV379" s="9"/>
      <c r="BW379" s="9"/>
      <c r="BX379" s="9"/>
      <c r="BY379" s="9"/>
      <c r="BZ379" s="9"/>
      <c r="CA379" s="9"/>
      <c r="CB379" s="9"/>
      <c r="CC379" s="9"/>
      <c r="CD379" s="9"/>
      <c r="CE379" s="9"/>
      <c r="CF379" s="9"/>
      <c r="CG379" s="9"/>
      <c r="CH379" s="9"/>
      <c r="CI379" s="9"/>
      <c r="CJ379" s="9"/>
      <c r="CK379" s="9"/>
    </row>
    <row r="380" spans="1:89" ht="14.1" customHeight="1" x14ac:dyDescent="0.25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  <c r="AJ380" s="9"/>
      <c r="AK380" s="9"/>
      <c r="AL380" s="9"/>
      <c r="AM380" s="9"/>
      <c r="AN380" s="9"/>
      <c r="AO380" s="9"/>
      <c r="AP380" s="9"/>
      <c r="AQ380" s="9"/>
      <c r="AR380" s="9"/>
      <c r="AS380" s="9"/>
      <c r="AT380" s="9"/>
      <c r="AU380" s="9"/>
      <c r="AV380" s="9"/>
      <c r="AW380" s="9"/>
      <c r="AX380" s="9"/>
      <c r="AY380" s="9"/>
      <c r="AZ380" s="9"/>
      <c r="BA380" s="9"/>
      <c r="BB380" s="9"/>
      <c r="BC380" s="9"/>
      <c r="BD380" s="9"/>
      <c r="BE380" s="9"/>
      <c r="BF380" s="9"/>
      <c r="BG380" s="9"/>
      <c r="BH380" s="9"/>
      <c r="BI380" s="9"/>
      <c r="BJ380" s="9"/>
      <c r="BK380" s="9"/>
      <c r="BL380" s="9"/>
      <c r="BM380" s="9"/>
      <c r="BN380" s="9"/>
      <c r="BO380" s="9"/>
      <c r="BP380" s="9"/>
      <c r="BQ380" s="9"/>
      <c r="BR380" s="9"/>
      <c r="BS380" s="9"/>
      <c r="BT380" s="9"/>
      <c r="BU380" s="9"/>
      <c r="BV380" s="9"/>
      <c r="BW380" s="9"/>
      <c r="BX380" s="9"/>
      <c r="BY380" s="9"/>
      <c r="BZ380" s="9"/>
      <c r="CA380" s="9"/>
      <c r="CB380" s="9"/>
      <c r="CC380" s="9"/>
      <c r="CD380" s="9"/>
      <c r="CE380" s="9"/>
      <c r="CF380" s="9"/>
      <c r="CG380" s="9"/>
      <c r="CH380" s="9"/>
      <c r="CI380" s="9"/>
      <c r="CJ380" s="9"/>
      <c r="CK380" s="9"/>
    </row>
    <row r="381" spans="1:89" ht="14.1" customHeight="1" x14ac:dyDescent="0.25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  <c r="AJ381" s="9"/>
      <c r="AK381" s="9"/>
      <c r="AL381" s="9"/>
      <c r="AM381" s="9"/>
      <c r="AN381" s="9"/>
      <c r="AO381" s="9"/>
      <c r="AP381" s="9"/>
      <c r="AQ381" s="9"/>
      <c r="AR381" s="9"/>
      <c r="AS381" s="9"/>
      <c r="AT381" s="9"/>
      <c r="AU381" s="9"/>
      <c r="AV381" s="9"/>
      <c r="AW381" s="9"/>
      <c r="AX381" s="9"/>
      <c r="AY381" s="9"/>
      <c r="AZ381" s="9"/>
      <c r="BA381" s="9"/>
      <c r="BB381" s="9"/>
      <c r="BC381" s="9"/>
      <c r="BD381" s="9"/>
      <c r="BE381" s="9"/>
      <c r="BF381" s="9"/>
      <c r="BG381" s="9"/>
      <c r="BH381" s="9"/>
      <c r="BI381" s="9"/>
      <c r="BJ381" s="9"/>
      <c r="BK381" s="9"/>
      <c r="BL381" s="9"/>
      <c r="BM381" s="9"/>
      <c r="BN381" s="9"/>
      <c r="BO381" s="9"/>
      <c r="BP381" s="9"/>
      <c r="BQ381" s="9"/>
      <c r="BR381" s="9"/>
      <c r="BS381" s="9"/>
      <c r="BT381" s="9"/>
      <c r="BU381" s="9"/>
      <c r="BV381" s="9"/>
      <c r="BW381" s="9"/>
      <c r="BX381" s="9"/>
      <c r="BY381" s="9"/>
      <c r="BZ381" s="9"/>
      <c r="CA381" s="9"/>
      <c r="CB381" s="9"/>
      <c r="CC381" s="9"/>
      <c r="CD381" s="9"/>
      <c r="CE381" s="9"/>
      <c r="CF381" s="9"/>
      <c r="CG381" s="9"/>
      <c r="CH381" s="9"/>
      <c r="CI381" s="9"/>
      <c r="CJ381" s="9"/>
      <c r="CK381" s="9"/>
    </row>
    <row r="382" spans="1:89" ht="14.1" customHeight="1" x14ac:dyDescent="0.25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  <c r="AJ382" s="9"/>
      <c r="AK382" s="9"/>
      <c r="AL382" s="9"/>
      <c r="AM382" s="9"/>
      <c r="AN382" s="9"/>
      <c r="AO382" s="9"/>
      <c r="AP382" s="9"/>
      <c r="AQ382" s="9"/>
      <c r="AR382" s="9"/>
      <c r="AS382" s="9"/>
      <c r="AT382" s="9"/>
      <c r="AU382" s="9"/>
      <c r="AV382" s="9"/>
      <c r="AW382" s="9"/>
      <c r="AX382" s="9"/>
      <c r="AY382" s="9"/>
      <c r="AZ382" s="9"/>
      <c r="BA382" s="9"/>
      <c r="BB382" s="9"/>
      <c r="BC382" s="9"/>
      <c r="BD382" s="9"/>
      <c r="BE382" s="9"/>
      <c r="BF382" s="9"/>
      <c r="BG382" s="9"/>
      <c r="BH382" s="9"/>
      <c r="BI382" s="9"/>
      <c r="BJ382" s="9"/>
      <c r="BK382" s="9"/>
      <c r="BL382" s="9"/>
      <c r="BM382" s="9"/>
      <c r="BN382" s="9"/>
      <c r="BO382" s="9"/>
      <c r="BP382" s="9"/>
      <c r="BQ382" s="9"/>
      <c r="BR382" s="9"/>
      <c r="BS382" s="9"/>
      <c r="BT382" s="9"/>
      <c r="BU382" s="9"/>
      <c r="BV382" s="9"/>
      <c r="BW382" s="9"/>
      <c r="BX382" s="9"/>
      <c r="BY382" s="9"/>
      <c r="BZ382" s="9"/>
      <c r="CA382" s="9"/>
      <c r="CB382" s="9"/>
      <c r="CC382" s="9"/>
      <c r="CD382" s="9"/>
      <c r="CE382" s="9"/>
      <c r="CF382" s="9"/>
      <c r="CG382" s="9"/>
      <c r="CH382" s="9"/>
      <c r="CI382" s="9"/>
      <c r="CJ382" s="9"/>
      <c r="CK382" s="9"/>
    </row>
    <row r="383" spans="1:89" ht="14.1" customHeight="1" x14ac:dyDescent="0.25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  <c r="AJ383" s="9"/>
      <c r="AK383" s="9"/>
      <c r="AL383" s="9"/>
      <c r="AM383" s="9"/>
      <c r="AN383" s="9"/>
      <c r="AO383" s="9"/>
      <c r="AP383" s="9"/>
      <c r="AQ383" s="9"/>
      <c r="AR383" s="9"/>
      <c r="AS383" s="9"/>
      <c r="AT383" s="9"/>
      <c r="AU383" s="9"/>
      <c r="AV383" s="9"/>
      <c r="AW383" s="9"/>
      <c r="AX383" s="9"/>
      <c r="AY383" s="9"/>
      <c r="AZ383" s="9"/>
      <c r="BA383" s="9"/>
      <c r="BB383" s="9"/>
      <c r="BC383" s="9"/>
      <c r="BD383" s="9"/>
      <c r="BE383" s="9"/>
      <c r="BF383" s="9"/>
      <c r="BG383" s="9"/>
      <c r="BH383" s="9"/>
      <c r="BI383" s="9"/>
      <c r="BJ383" s="9"/>
      <c r="BK383" s="9"/>
      <c r="BL383" s="9"/>
      <c r="BM383" s="9"/>
      <c r="BN383" s="9"/>
      <c r="BO383" s="9"/>
      <c r="BP383" s="9"/>
      <c r="BQ383" s="9"/>
      <c r="BR383" s="9"/>
      <c r="BS383" s="9"/>
      <c r="BT383" s="9"/>
      <c r="BU383" s="9"/>
      <c r="BV383" s="9"/>
      <c r="BW383" s="9"/>
      <c r="BX383" s="9"/>
      <c r="BY383" s="9"/>
      <c r="BZ383" s="9"/>
      <c r="CA383" s="9"/>
      <c r="CB383" s="9"/>
      <c r="CC383" s="9"/>
      <c r="CD383" s="9"/>
      <c r="CE383" s="9"/>
      <c r="CF383" s="9"/>
      <c r="CG383" s="9"/>
      <c r="CH383" s="9"/>
      <c r="CI383" s="9"/>
      <c r="CJ383" s="9"/>
      <c r="CK383" s="9"/>
    </row>
    <row r="384" spans="1:89" ht="14.1" customHeight="1" x14ac:dyDescent="0.25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  <c r="AJ384" s="9"/>
      <c r="AK384" s="9"/>
      <c r="AL384" s="9"/>
      <c r="AM384" s="9"/>
      <c r="AN384" s="9"/>
      <c r="AO384" s="9"/>
      <c r="AP384" s="9"/>
      <c r="AQ384" s="9"/>
      <c r="AR384" s="9"/>
      <c r="AS384" s="9"/>
      <c r="AT384" s="9"/>
      <c r="AU384" s="9"/>
      <c r="AV384" s="9"/>
      <c r="AW384" s="9"/>
      <c r="AX384" s="9"/>
      <c r="AY384" s="9"/>
      <c r="AZ384" s="9"/>
      <c r="BA384" s="9"/>
      <c r="BB384" s="9"/>
      <c r="BC384" s="9"/>
      <c r="BD384" s="9"/>
      <c r="BE384" s="9"/>
      <c r="BF384" s="9"/>
      <c r="BG384" s="9"/>
      <c r="BH384" s="9"/>
      <c r="BI384" s="9"/>
      <c r="BJ384" s="9"/>
      <c r="BK384" s="9"/>
      <c r="BL384" s="9"/>
      <c r="BM384" s="9"/>
      <c r="BN384" s="9"/>
      <c r="BO384" s="9"/>
      <c r="BP384" s="9"/>
      <c r="BQ384" s="9"/>
      <c r="BR384" s="9"/>
      <c r="BS384" s="9"/>
      <c r="BT384" s="9"/>
      <c r="BU384" s="9"/>
      <c r="BV384" s="9"/>
      <c r="BW384" s="9"/>
      <c r="BX384" s="9"/>
      <c r="BY384" s="9"/>
      <c r="BZ384" s="9"/>
      <c r="CA384" s="9"/>
      <c r="CB384" s="9"/>
      <c r="CC384" s="9"/>
      <c r="CD384" s="9"/>
      <c r="CE384" s="9"/>
      <c r="CF384" s="9"/>
    </row>
    <row r="385" spans="1:84" ht="14.1" customHeight="1" x14ac:dyDescent="0.25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  <c r="AJ385" s="9"/>
      <c r="AK385" s="9"/>
      <c r="AL385" s="9"/>
      <c r="AM385" s="9"/>
      <c r="AN385" s="9"/>
      <c r="AO385" s="9"/>
      <c r="AP385" s="9"/>
      <c r="AQ385" s="9"/>
      <c r="AR385" s="9"/>
      <c r="AS385" s="9"/>
      <c r="AT385" s="9"/>
      <c r="AU385" s="9"/>
      <c r="AV385" s="9"/>
      <c r="AW385" s="9"/>
      <c r="AX385" s="9"/>
      <c r="AY385" s="9"/>
      <c r="AZ385" s="9"/>
      <c r="BA385" s="9"/>
      <c r="BB385" s="9"/>
      <c r="BC385" s="9"/>
      <c r="BD385" s="9"/>
      <c r="BE385" s="9"/>
      <c r="BF385" s="9"/>
      <c r="BG385" s="9"/>
      <c r="BH385" s="9"/>
      <c r="BI385" s="9"/>
      <c r="BJ385" s="9"/>
      <c r="BK385" s="9"/>
      <c r="BL385" s="9"/>
      <c r="BM385" s="9"/>
      <c r="BN385" s="9"/>
      <c r="BO385" s="9"/>
      <c r="BP385" s="9"/>
      <c r="BQ385" s="9"/>
      <c r="BR385" s="9"/>
      <c r="BS385" s="9"/>
      <c r="BT385" s="9"/>
      <c r="BU385" s="9"/>
      <c r="BV385" s="9"/>
      <c r="BW385" s="9"/>
      <c r="BX385" s="9"/>
      <c r="BY385" s="9"/>
      <c r="BZ385" s="9"/>
      <c r="CA385" s="9"/>
      <c r="CB385" s="9"/>
      <c r="CC385" s="9"/>
      <c r="CD385" s="9"/>
      <c r="CE385" s="9"/>
      <c r="CF385" s="9"/>
    </row>
    <row r="386" spans="1:84" ht="24.95" customHeight="1" x14ac:dyDescent="0.25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</row>
    <row r="387" spans="1:84" ht="24.95" customHeight="1" x14ac:dyDescent="0.25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</row>
    <row r="388" spans="1:84" ht="24.95" customHeight="1" x14ac:dyDescent="0.25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</row>
    <row r="389" spans="1:84" ht="24.95" customHeight="1" x14ac:dyDescent="0.25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</row>
    <row r="390" spans="1:84" ht="24.95" customHeight="1" x14ac:dyDescent="0.25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</row>
    <row r="391" spans="1:84" ht="24.95" customHeight="1" x14ac:dyDescent="0.25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</row>
    <row r="392" spans="1:84" ht="24.95" customHeight="1" x14ac:dyDescent="0.25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</row>
    <row r="393" spans="1:84" ht="24.95" customHeight="1" x14ac:dyDescent="0.25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</row>
    <row r="394" spans="1:84" ht="24.95" customHeight="1" x14ac:dyDescent="0.25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</row>
    <row r="395" spans="1:84" ht="24.95" customHeight="1" x14ac:dyDescent="0.25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</row>
    <row r="396" spans="1:84" ht="24.95" customHeight="1" x14ac:dyDescent="0.25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</row>
    <row r="397" spans="1:84" ht="24.95" customHeight="1" x14ac:dyDescent="0.25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</row>
    <row r="398" spans="1:84" ht="24.95" customHeight="1" x14ac:dyDescent="0.25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</row>
    <row r="399" spans="1:84" ht="24.95" customHeight="1" x14ac:dyDescent="0.25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</row>
    <row r="400" spans="1:84" ht="24.95" customHeight="1" x14ac:dyDescent="0.25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</row>
    <row r="401" spans="1:15" ht="24.95" customHeight="1" x14ac:dyDescent="0.25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</row>
    <row r="402" spans="1:15" ht="24.95" customHeight="1" x14ac:dyDescent="0.25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</row>
    <row r="403" spans="1:15" ht="24.95" customHeight="1" x14ac:dyDescent="0.25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</row>
    <row r="404" spans="1:15" ht="24.95" customHeight="1" x14ac:dyDescent="0.25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</row>
    <row r="405" spans="1:15" ht="24.95" customHeight="1" x14ac:dyDescent="0.25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</row>
    <row r="406" spans="1:15" ht="24.95" customHeight="1" x14ac:dyDescent="0.25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</row>
    <row r="407" spans="1:15" ht="24.95" customHeight="1" x14ac:dyDescent="0.25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</row>
    <row r="408" spans="1:15" ht="24.95" customHeight="1" x14ac:dyDescent="0.25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</row>
    <row r="409" spans="1:15" ht="24.95" customHeight="1" x14ac:dyDescent="0.25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</row>
    <row r="410" spans="1:15" ht="24.95" customHeight="1" x14ac:dyDescent="0.25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</row>
    <row r="411" spans="1:15" ht="24.95" customHeight="1" x14ac:dyDescent="0.25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</row>
    <row r="412" spans="1:15" ht="24.95" customHeight="1" x14ac:dyDescent="0.25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</row>
    <row r="413" spans="1:15" ht="24.95" customHeight="1" x14ac:dyDescent="0.25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</row>
    <row r="414" spans="1:15" ht="24.95" customHeight="1" x14ac:dyDescent="0.25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</row>
    <row r="415" spans="1:15" ht="24.95" customHeight="1" x14ac:dyDescent="0.25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</row>
    <row r="416" spans="1:15" ht="24.95" customHeight="1" x14ac:dyDescent="0.25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</row>
    <row r="417" spans="1:15" ht="24.95" customHeight="1" x14ac:dyDescent="0.25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</row>
    <row r="418" spans="1:15" ht="24.95" customHeight="1" x14ac:dyDescent="0.25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</row>
    <row r="419" spans="1:15" ht="24.95" customHeight="1" x14ac:dyDescent="0.25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</row>
    <row r="420" spans="1:15" ht="24.95" customHeight="1" x14ac:dyDescent="0.25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</row>
    <row r="421" spans="1:15" ht="24.95" customHeight="1" x14ac:dyDescent="0.25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</row>
    <row r="422" spans="1:15" ht="24.95" customHeight="1" x14ac:dyDescent="0.25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</row>
    <row r="423" spans="1:15" ht="24.95" customHeight="1" x14ac:dyDescent="0.25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</row>
    <row r="424" spans="1:15" ht="24.95" customHeight="1" x14ac:dyDescent="0.25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</row>
    <row r="425" spans="1:15" ht="24.95" customHeight="1" x14ac:dyDescent="0.25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</row>
    <row r="426" spans="1:15" ht="24.95" customHeight="1" x14ac:dyDescent="0.25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</row>
    <row r="427" spans="1:15" ht="24.95" customHeight="1" x14ac:dyDescent="0.25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</row>
    <row r="428" spans="1:15" ht="24.95" customHeight="1" x14ac:dyDescent="0.25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</row>
    <row r="429" spans="1:15" ht="24.95" customHeight="1" x14ac:dyDescent="0.25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</row>
    <row r="430" spans="1:15" ht="24.95" customHeight="1" x14ac:dyDescent="0.25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</row>
    <row r="431" spans="1:15" ht="24.95" customHeight="1" x14ac:dyDescent="0.25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</row>
    <row r="432" spans="1:15" ht="24.95" customHeight="1" x14ac:dyDescent="0.25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</row>
    <row r="433" spans="1:15" ht="24.95" customHeight="1" x14ac:dyDescent="0.25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</row>
    <row r="434" spans="1:15" ht="24.95" customHeight="1" x14ac:dyDescent="0.25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</row>
    <row r="435" spans="1:15" ht="24.95" customHeight="1" x14ac:dyDescent="0.25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</row>
    <row r="436" spans="1:15" ht="24.95" customHeight="1" x14ac:dyDescent="0.25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</row>
    <row r="437" spans="1:15" ht="24.95" customHeight="1" x14ac:dyDescent="0.25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</row>
    <row r="438" spans="1:15" ht="24.95" customHeight="1" x14ac:dyDescent="0.25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</row>
    <row r="439" spans="1:15" ht="24.95" customHeight="1" x14ac:dyDescent="0.25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</row>
    <row r="440" spans="1:15" ht="24.95" customHeight="1" x14ac:dyDescent="0.25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</row>
    <row r="441" spans="1:15" ht="24.95" customHeight="1" x14ac:dyDescent="0.25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</row>
    <row r="442" spans="1:15" ht="24.95" customHeight="1" x14ac:dyDescent="0.25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</row>
    <row r="443" spans="1:15" ht="24.95" customHeight="1" x14ac:dyDescent="0.25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</row>
    <row r="444" spans="1:15" ht="24.95" customHeight="1" x14ac:dyDescent="0.25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</row>
    <row r="445" spans="1:15" ht="24.95" customHeight="1" x14ac:dyDescent="0.25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</row>
    <row r="446" spans="1:15" ht="24.95" customHeight="1" x14ac:dyDescent="0.25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</row>
    <row r="447" spans="1:15" ht="24.95" customHeight="1" x14ac:dyDescent="0.25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</row>
    <row r="448" spans="1:15" ht="24.95" customHeight="1" x14ac:dyDescent="0.25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</row>
    <row r="449" spans="1:15" ht="24.95" customHeight="1" x14ac:dyDescent="0.25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</row>
    <row r="450" spans="1:15" ht="24.95" customHeight="1" x14ac:dyDescent="0.25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</row>
    <row r="451" spans="1:15" ht="24.95" customHeight="1" x14ac:dyDescent="0.25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</row>
    <row r="452" spans="1:15" ht="24.95" customHeight="1" x14ac:dyDescent="0.25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</row>
    <row r="453" spans="1:15" ht="24.95" customHeight="1" x14ac:dyDescent="0.25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</row>
    <row r="454" spans="1:15" ht="24.95" customHeight="1" x14ac:dyDescent="0.25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</row>
    <row r="455" spans="1:15" ht="24.95" customHeight="1" x14ac:dyDescent="0.25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</row>
    <row r="456" spans="1:15" ht="24.95" customHeight="1" x14ac:dyDescent="0.25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</row>
    <row r="457" spans="1:15" ht="24.95" customHeight="1" x14ac:dyDescent="0.25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</row>
    <row r="458" spans="1:15" ht="24.95" customHeight="1" x14ac:dyDescent="0.25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</row>
    <row r="459" spans="1:15" ht="24.95" customHeight="1" x14ac:dyDescent="0.25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</row>
    <row r="460" spans="1:15" ht="24.95" customHeight="1" x14ac:dyDescent="0.25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</row>
    <row r="461" spans="1:15" ht="24.95" customHeight="1" x14ac:dyDescent="0.25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</row>
    <row r="462" spans="1:15" ht="24.95" customHeight="1" x14ac:dyDescent="0.25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</row>
    <row r="463" spans="1:15" ht="24.95" customHeight="1" x14ac:dyDescent="0.25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</row>
    <row r="464" spans="1:15" ht="24.95" customHeight="1" x14ac:dyDescent="0.25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</row>
    <row r="465" spans="1:15" ht="24.95" customHeight="1" x14ac:dyDescent="0.25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</row>
    <row r="466" spans="1:15" ht="24.95" customHeight="1" x14ac:dyDescent="0.25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</row>
    <row r="467" spans="1:15" ht="24.95" customHeight="1" x14ac:dyDescent="0.25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</row>
    <row r="468" spans="1:15" ht="24.95" customHeight="1" x14ac:dyDescent="0.25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</row>
    <row r="469" spans="1:15" ht="24.95" customHeight="1" x14ac:dyDescent="0.25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</row>
    <row r="470" spans="1:15" ht="24.95" customHeight="1" x14ac:dyDescent="0.25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</row>
    <row r="471" spans="1:15" ht="24.95" customHeight="1" x14ac:dyDescent="0.25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</row>
    <row r="472" spans="1:15" ht="24.95" customHeight="1" x14ac:dyDescent="0.25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</row>
    <row r="473" spans="1:15" ht="24.95" customHeight="1" x14ac:dyDescent="0.25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</row>
    <row r="474" spans="1:15" ht="24.95" customHeight="1" x14ac:dyDescent="0.25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</row>
    <row r="475" spans="1:15" ht="24.95" customHeight="1" x14ac:dyDescent="0.25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</row>
    <row r="476" spans="1:15" ht="24.95" customHeight="1" x14ac:dyDescent="0.25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</row>
    <row r="477" spans="1:15" ht="24.95" customHeight="1" x14ac:dyDescent="0.25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</row>
    <row r="478" spans="1:15" ht="24.95" customHeight="1" x14ac:dyDescent="0.25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</row>
    <row r="479" spans="1:15" ht="24.95" customHeight="1" x14ac:dyDescent="0.25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</row>
    <row r="480" spans="1:15" ht="24.95" customHeight="1" x14ac:dyDescent="0.25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</row>
    <row r="481" spans="1:15" ht="24.95" customHeight="1" x14ac:dyDescent="0.25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</row>
    <row r="482" spans="1:15" ht="24.95" customHeight="1" x14ac:dyDescent="0.25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</row>
    <row r="483" spans="1:15" ht="24.95" customHeight="1" x14ac:dyDescent="0.25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</row>
    <row r="484" spans="1:15" ht="24.95" customHeight="1" x14ac:dyDescent="0.25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</row>
    <row r="485" spans="1:15" ht="24.95" customHeight="1" x14ac:dyDescent="0.25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</row>
    <row r="486" spans="1:15" ht="24.95" customHeight="1" x14ac:dyDescent="0.25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</row>
    <row r="487" spans="1:15" ht="24.95" customHeight="1" x14ac:dyDescent="0.25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</row>
    <row r="488" spans="1:15" ht="24.95" customHeight="1" x14ac:dyDescent="0.25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</row>
    <row r="489" spans="1:15" ht="24.95" customHeight="1" x14ac:dyDescent="0.25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</row>
    <row r="490" spans="1:15" ht="24.95" customHeight="1" x14ac:dyDescent="0.25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</row>
    <row r="491" spans="1:15" ht="24.95" customHeight="1" x14ac:dyDescent="0.25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</row>
    <row r="492" spans="1:15" ht="24.95" customHeight="1" x14ac:dyDescent="0.25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</row>
    <row r="493" spans="1:15" ht="24.95" customHeight="1" x14ac:dyDescent="0.25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</row>
    <row r="494" spans="1:15" ht="24.95" customHeight="1" x14ac:dyDescent="0.25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</row>
    <row r="495" spans="1:15" ht="24.95" customHeight="1" x14ac:dyDescent="0.25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</row>
    <row r="496" spans="1:15" ht="24.95" customHeight="1" x14ac:dyDescent="0.25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</row>
    <row r="497" spans="1:15" ht="24.95" customHeight="1" x14ac:dyDescent="0.25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</row>
    <row r="498" spans="1:15" ht="24.95" customHeight="1" x14ac:dyDescent="0.25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</row>
    <row r="499" spans="1:15" ht="24.95" customHeight="1" x14ac:dyDescent="0.25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</row>
    <row r="500" spans="1:15" ht="24.95" customHeight="1" x14ac:dyDescent="0.25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</row>
    <row r="501" spans="1:15" ht="24.95" customHeight="1" x14ac:dyDescent="0.25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</row>
    <row r="502" spans="1:15" ht="24.95" customHeight="1" x14ac:dyDescent="0.25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</row>
    <row r="503" spans="1:15" ht="24.95" customHeight="1" x14ac:dyDescent="0.25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</row>
    <row r="504" spans="1:15" ht="24.95" customHeight="1" x14ac:dyDescent="0.25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</row>
    <row r="505" spans="1:15" ht="24.95" customHeight="1" x14ac:dyDescent="0.25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</row>
    <row r="506" spans="1:15" ht="24.95" customHeight="1" x14ac:dyDescent="0.25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</row>
    <row r="507" spans="1:15" ht="24.95" customHeight="1" x14ac:dyDescent="0.25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</row>
    <row r="508" spans="1:15" ht="24.95" customHeight="1" x14ac:dyDescent="0.25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</row>
    <row r="509" spans="1:15" ht="24.95" customHeight="1" x14ac:dyDescent="0.25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</row>
    <row r="510" spans="1:15" ht="24.95" customHeight="1" x14ac:dyDescent="0.25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</row>
    <row r="511" spans="1:15" ht="24.95" customHeight="1" x14ac:dyDescent="0.25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</row>
    <row r="512" spans="1:15" ht="24.95" customHeight="1" x14ac:dyDescent="0.25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</row>
    <row r="513" spans="1:15" ht="24.95" customHeight="1" x14ac:dyDescent="0.25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</row>
    <row r="514" spans="1:15" ht="24.95" customHeight="1" x14ac:dyDescent="0.25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</row>
    <row r="515" spans="1:15" ht="24.95" customHeight="1" x14ac:dyDescent="0.25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</row>
    <row r="516" spans="1:15" ht="24.95" customHeight="1" x14ac:dyDescent="0.25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</row>
    <row r="517" spans="1:15" ht="24.95" customHeight="1" x14ac:dyDescent="0.25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</row>
    <row r="518" spans="1:15" ht="24.95" customHeight="1" x14ac:dyDescent="0.25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</row>
    <row r="519" spans="1:15" ht="24.95" customHeight="1" x14ac:dyDescent="0.25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</row>
    <row r="520" spans="1:15" ht="24.95" customHeight="1" x14ac:dyDescent="0.25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</row>
    <row r="521" spans="1:15" ht="24.95" customHeight="1" x14ac:dyDescent="0.25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</row>
    <row r="522" spans="1:15" ht="24.95" customHeight="1" x14ac:dyDescent="0.25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</row>
    <row r="523" spans="1:15" ht="24.95" customHeight="1" x14ac:dyDescent="0.25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</row>
    <row r="524" spans="1:15" ht="24.95" customHeight="1" x14ac:dyDescent="0.25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</row>
    <row r="525" spans="1:15" ht="24.95" customHeight="1" x14ac:dyDescent="0.25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</row>
    <row r="526" spans="1:15" ht="24.95" customHeight="1" x14ac:dyDescent="0.25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</row>
    <row r="527" spans="1:15" ht="24.95" customHeight="1" x14ac:dyDescent="0.25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</row>
    <row r="528" spans="1:15" ht="24.95" customHeight="1" x14ac:dyDescent="0.25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</row>
    <row r="529" spans="1:15" ht="24.95" customHeight="1" x14ac:dyDescent="0.25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</row>
    <row r="530" spans="1:15" ht="24.95" customHeight="1" x14ac:dyDescent="0.25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</row>
    <row r="531" spans="1:15" ht="24.95" customHeight="1" x14ac:dyDescent="0.25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</row>
    <row r="532" spans="1:15" ht="24.95" customHeight="1" x14ac:dyDescent="0.25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</row>
    <row r="533" spans="1:15" ht="24.95" customHeight="1" x14ac:dyDescent="0.25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</row>
    <row r="534" spans="1:15" ht="24.95" customHeight="1" x14ac:dyDescent="0.25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</row>
    <row r="535" spans="1:15" ht="24.95" customHeight="1" x14ac:dyDescent="0.25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</row>
    <row r="536" spans="1:15" ht="24.95" customHeight="1" x14ac:dyDescent="0.25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</row>
    <row r="537" spans="1:15" ht="24.95" customHeight="1" x14ac:dyDescent="0.25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</row>
    <row r="538" spans="1:15" ht="24.95" customHeight="1" x14ac:dyDescent="0.25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</row>
    <row r="539" spans="1:15" ht="24.95" customHeight="1" x14ac:dyDescent="0.25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</row>
    <row r="540" spans="1:15" ht="24.95" customHeight="1" x14ac:dyDescent="0.25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</row>
    <row r="541" spans="1:15" ht="24.95" customHeight="1" x14ac:dyDescent="0.25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</row>
    <row r="542" spans="1:15" ht="24.95" customHeight="1" x14ac:dyDescent="0.25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</row>
    <row r="543" spans="1:15" ht="24.95" customHeight="1" x14ac:dyDescent="0.25">
      <c r="F543" s="9"/>
      <c r="G543" s="9"/>
      <c r="H543" s="9"/>
      <c r="I543" s="9"/>
      <c r="J543" s="9"/>
      <c r="K543" s="9"/>
      <c r="L543" s="9"/>
      <c r="M543" s="9"/>
      <c r="N543" s="9"/>
      <c r="O543" s="9"/>
    </row>
    <row r="544" spans="1:15" ht="24.95" customHeight="1" x14ac:dyDescent="0.25">
      <c r="F544" s="9"/>
      <c r="G544" s="9"/>
      <c r="H544" s="9"/>
      <c r="I544" s="9"/>
      <c r="J544" s="9"/>
      <c r="K544" s="9"/>
      <c r="L544" s="9"/>
      <c r="M544" s="9"/>
      <c r="N544" s="9"/>
      <c r="O544" s="9"/>
    </row>
    <row r="545" spans="6:15" ht="24.95" customHeight="1" x14ac:dyDescent="0.25">
      <c r="F545" s="9"/>
      <c r="G545" s="9"/>
      <c r="H545" s="9"/>
      <c r="I545" s="9"/>
      <c r="J545" s="9"/>
      <c r="K545" s="9"/>
      <c r="L545" s="9"/>
      <c r="M545" s="9"/>
      <c r="N545" s="9"/>
      <c r="O545" s="9"/>
    </row>
    <row r="546" spans="6:15" ht="24.95" customHeight="1" x14ac:dyDescent="0.25">
      <c r="F546" s="9"/>
      <c r="G546" s="9"/>
      <c r="H546" s="9"/>
      <c r="I546" s="9"/>
      <c r="J546" s="9"/>
      <c r="K546" s="9"/>
      <c r="L546" s="9"/>
      <c r="M546" s="9"/>
      <c r="N546" s="9"/>
      <c r="O546" s="9"/>
    </row>
    <row r="547" spans="6:15" ht="24.95" customHeight="1" x14ac:dyDescent="0.25">
      <c r="F547" s="9"/>
      <c r="G547" s="9"/>
      <c r="H547" s="9"/>
      <c r="I547" s="9"/>
      <c r="J547" s="9"/>
      <c r="K547" s="9"/>
      <c r="L547" s="9"/>
      <c r="M547" s="9"/>
      <c r="N547" s="9"/>
      <c r="O547" s="9"/>
    </row>
    <row r="548" spans="6:15" ht="24.95" customHeight="1" x14ac:dyDescent="0.25">
      <c r="F548" s="9"/>
      <c r="G548" s="9"/>
      <c r="H548" s="9"/>
      <c r="I548" s="9"/>
      <c r="J548" s="9"/>
      <c r="K548" s="9"/>
      <c r="L548" s="9"/>
      <c r="M548" s="9"/>
      <c r="N548" s="9"/>
      <c r="O548" s="9"/>
    </row>
    <row r="549" spans="6:15" ht="24.95" customHeight="1" x14ac:dyDescent="0.25">
      <c r="F549" s="9"/>
      <c r="G549" s="9"/>
      <c r="H549" s="9"/>
      <c r="I549" s="9"/>
      <c r="J549" s="9"/>
      <c r="K549" s="9"/>
      <c r="L549" s="9"/>
      <c r="M549" s="9"/>
      <c r="N549" s="9"/>
      <c r="O549" s="9"/>
    </row>
    <row r="550" spans="6:15" ht="24.95" customHeight="1" x14ac:dyDescent="0.25">
      <c r="F550" s="9"/>
      <c r="G550" s="9"/>
      <c r="H550" s="9"/>
      <c r="I550" s="9"/>
      <c r="J550" s="9"/>
      <c r="K550" s="9"/>
      <c r="L550" s="9"/>
      <c r="M550" s="9"/>
      <c r="N550" s="9"/>
      <c r="O550" s="9"/>
    </row>
    <row r="551" spans="6:15" ht="24.95" customHeight="1" x14ac:dyDescent="0.25">
      <c r="F551" s="9"/>
      <c r="G551" s="9"/>
      <c r="H551" s="9"/>
      <c r="I551" s="9"/>
      <c r="J551" s="9"/>
      <c r="K551" s="9"/>
      <c r="L551" s="9"/>
      <c r="M551" s="9"/>
      <c r="N551" s="9"/>
      <c r="O551" s="9"/>
    </row>
    <row r="552" spans="6:15" ht="24.95" customHeight="1" x14ac:dyDescent="0.25">
      <c r="F552" s="9"/>
      <c r="G552" s="9"/>
      <c r="H552" s="9"/>
      <c r="I552" s="9"/>
      <c r="J552" s="9"/>
      <c r="K552" s="9"/>
      <c r="L552" s="9"/>
      <c r="M552" s="9"/>
      <c r="N552" s="9"/>
      <c r="O552" s="9"/>
    </row>
    <row r="553" spans="6:15" ht="24.95" customHeight="1" x14ac:dyDescent="0.25">
      <c r="F553" s="9"/>
      <c r="G553" s="9"/>
      <c r="H553" s="9"/>
      <c r="I553" s="9"/>
      <c r="J553" s="9"/>
      <c r="K553" s="9"/>
      <c r="L553" s="9"/>
      <c r="M553" s="9"/>
      <c r="N553" s="9"/>
      <c r="O553" s="9"/>
    </row>
    <row r="554" spans="6:15" ht="24.95" customHeight="1" x14ac:dyDescent="0.25">
      <c r="F554" s="9"/>
      <c r="G554" s="9"/>
      <c r="H554" s="9"/>
      <c r="I554" s="9"/>
      <c r="J554" s="9"/>
      <c r="K554" s="9"/>
      <c r="L554" s="9"/>
      <c r="M554" s="9"/>
      <c r="N554" s="9"/>
      <c r="O554" s="9"/>
    </row>
    <row r="555" spans="6:15" ht="24.95" customHeight="1" x14ac:dyDescent="0.25">
      <c r="F555" s="9"/>
      <c r="G555" s="9"/>
      <c r="H555" s="9"/>
      <c r="I555" s="9"/>
      <c r="J555" s="9"/>
      <c r="K555" s="9"/>
      <c r="L555" s="9"/>
      <c r="M555" s="9"/>
      <c r="N555" s="9"/>
      <c r="O555" s="9"/>
    </row>
    <row r="556" spans="6:15" ht="24.95" customHeight="1" x14ac:dyDescent="0.25">
      <c r="F556" s="9"/>
      <c r="G556" s="9"/>
      <c r="H556" s="9"/>
      <c r="I556" s="9"/>
      <c r="J556" s="9"/>
      <c r="K556" s="9"/>
      <c r="L556" s="9"/>
      <c r="M556" s="9"/>
      <c r="N556" s="9"/>
      <c r="O556" s="9"/>
    </row>
    <row r="557" spans="6:15" ht="24.95" customHeight="1" x14ac:dyDescent="0.25">
      <c r="F557" s="9"/>
      <c r="G557" s="9"/>
      <c r="H557" s="9"/>
      <c r="I557" s="9"/>
      <c r="J557" s="9"/>
      <c r="K557" s="9"/>
      <c r="L557" s="9"/>
      <c r="M557" s="9"/>
      <c r="N557" s="9"/>
      <c r="O557" s="9"/>
    </row>
    <row r="558" spans="6:15" ht="24.95" customHeight="1" x14ac:dyDescent="0.25">
      <c r="F558" s="9"/>
      <c r="G558" s="9"/>
      <c r="H558" s="9"/>
      <c r="I558" s="9"/>
      <c r="J558" s="9"/>
      <c r="K558" s="9"/>
      <c r="L558" s="9"/>
      <c r="M558" s="9"/>
      <c r="N558" s="9"/>
      <c r="O558" s="9"/>
    </row>
    <row r="559" spans="6:15" ht="24.95" customHeight="1" x14ac:dyDescent="0.25">
      <c r="F559" s="9"/>
      <c r="G559" s="9"/>
      <c r="H559" s="9"/>
      <c r="I559" s="9"/>
      <c r="J559" s="9"/>
      <c r="K559" s="9"/>
      <c r="L559" s="9"/>
      <c r="M559" s="9"/>
      <c r="N559" s="9"/>
      <c r="O559" s="9"/>
    </row>
    <row r="560" spans="6:15" ht="24.95" customHeight="1" x14ac:dyDescent="0.25">
      <c r="F560" s="9"/>
      <c r="G560" s="9"/>
      <c r="H560" s="9"/>
      <c r="I560" s="9"/>
      <c r="J560" s="9"/>
      <c r="K560" s="9"/>
      <c r="L560" s="9"/>
      <c r="M560" s="9"/>
      <c r="N560" s="9"/>
      <c r="O560" s="9"/>
    </row>
    <row r="561" spans="6:15" ht="24.95" customHeight="1" x14ac:dyDescent="0.25">
      <c r="F561" s="9"/>
      <c r="G561" s="9"/>
      <c r="H561" s="9"/>
      <c r="I561" s="9"/>
      <c r="J561" s="9"/>
      <c r="K561" s="9"/>
      <c r="L561" s="9"/>
      <c r="M561" s="9"/>
      <c r="N561" s="9"/>
      <c r="O561" s="9"/>
    </row>
    <row r="562" spans="6:15" ht="24.95" customHeight="1" x14ac:dyDescent="0.25">
      <c r="F562" s="9"/>
      <c r="G562" s="9"/>
      <c r="H562" s="9"/>
      <c r="I562" s="9"/>
      <c r="J562" s="9"/>
      <c r="K562" s="9"/>
      <c r="L562" s="9"/>
      <c r="M562" s="9"/>
      <c r="N562" s="9"/>
      <c r="O562" s="9"/>
    </row>
    <row r="563" spans="6:15" ht="24.95" customHeight="1" x14ac:dyDescent="0.25">
      <c r="F563" s="9"/>
      <c r="G563" s="9"/>
      <c r="H563" s="9"/>
      <c r="I563" s="9"/>
      <c r="J563" s="9"/>
      <c r="K563" s="9"/>
      <c r="L563" s="9"/>
      <c r="M563" s="9"/>
      <c r="N563" s="9"/>
      <c r="O563" s="9"/>
    </row>
    <row r="564" spans="6:15" ht="24.95" customHeight="1" x14ac:dyDescent="0.25">
      <c r="F564" s="9"/>
      <c r="G564" s="9"/>
      <c r="H564" s="9"/>
      <c r="I564" s="9"/>
      <c r="J564" s="9"/>
      <c r="K564" s="9"/>
      <c r="L564" s="9"/>
      <c r="M564" s="9"/>
      <c r="N564" s="9"/>
      <c r="O564" s="9"/>
    </row>
    <row r="565" spans="6:15" ht="24.95" customHeight="1" x14ac:dyDescent="0.25">
      <c r="F565" s="9"/>
      <c r="G565" s="9"/>
      <c r="H565" s="9"/>
      <c r="I565" s="9"/>
      <c r="J565" s="9"/>
      <c r="K565" s="9"/>
      <c r="L565" s="9"/>
      <c r="M565" s="9"/>
      <c r="N565" s="9"/>
      <c r="O565" s="9"/>
    </row>
    <row r="566" spans="6:15" ht="24.95" customHeight="1" x14ac:dyDescent="0.25">
      <c r="F566" s="9"/>
      <c r="G566" s="9"/>
      <c r="H566" s="9"/>
      <c r="I566" s="9"/>
      <c r="J566" s="9"/>
      <c r="K566" s="9"/>
      <c r="L566" s="9"/>
      <c r="M566" s="9"/>
      <c r="N566" s="9"/>
      <c r="O566" s="9"/>
    </row>
    <row r="567" spans="6:15" ht="24.95" customHeight="1" x14ac:dyDescent="0.25">
      <c r="F567" s="9"/>
      <c r="G567" s="9"/>
      <c r="H567" s="9"/>
      <c r="I567" s="9"/>
      <c r="J567" s="9"/>
      <c r="K567" s="9"/>
      <c r="L567" s="9"/>
      <c r="M567" s="9"/>
      <c r="N567" s="9"/>
      <c r="O567" s="9"/>
    </row>
    <row r="568" spans="6:15" ht="24.95" customHeight="1" x14ac:dyDescent="0.25">
      <c r="F568" s="9"/>
      <c r="G568" s="9"/>
      <c r="H568" s="9"/>
      <c r="I568" s="9"/>
      <c r="J568" s="9"/>
      <c r="K568" s="9"/>
      <c r="L568" s="9"/>
      <c r="M568" s="9"/>
      <c r="N568" s="9"/>
      <c r="O568" s="9"/>
    </row>
    <row r="569" spans="6:15" ht="24.95" customHeight="1" x14ac:dyDescent="0.25">
      <c r="F569" s="9"/>
      <c r="G569" s="9"/>
      <c r="H569" s="9"/>
      <c r="I569" s="9"/>
      <c r="J569" s="9"/>
      <c r="K569" s="9"/>
      <c r="L569" s="9"/>
      <c r="M569" s="9"/>
      <c r="N569" s="9"/>
      <c r="O569" s="9"/>
    </row>
    <row r="570" spans="6:15" ht="24.95" customHeight="1" x14ac:dyDescent="0.25">
      <c r="F570" s="9"/>
      <c r="G570" s="9"/>
      <c r="H570" s="9"/>
      <c r="I570" s="9"/>
      <c r="J570" s="9"/>
      <c r="K570" s="9"/>
      <c r="L570" s="9"/>
      <c r="M570" s="9"/>
      <c r="N570" s="9"/>
      <c r="O570" s="9"/>
    </row>
    <row r="571" spans="6:15" ht="24.95" customHeight="1" x14ac:dyDescent="0.25">
      <c r="F571" s="9"/>
      <c r="G571" s="9"/>
      <c r="H571" s="9"/>
      <c r="I571" s="9"/>
      <c r="J571" s="9"/>
      <c r="K571" s="9"/>
      <c r="L571" s="9"/>
      <c r="M571" s="9"/>
      <c r="N571" s="9"/>
      <c r="O571" s="9"/>
    </row>
    <row r="572" spans="6:15" ht="24.95" customHeight="1" x14ac:dyDescent="0.25">
      <c r="F572" s="9"/>
      <c r="G572" s="9"/>
      <c r="H572" s="9"/>
      <c r="I572" s="9"/>
      <c r="J572" s="9"/>
      <c r="K572" s="9"/>
      <c r="L572" s="9"/>
      <c r="M572" s="9"/>
      <c r="N572" s="9"/>
      <c r="O572" s="9"/>
    </row>
    <row r="573" spans="6:15" ht="24.95" customHeight="1" x14ac:dyDescent="0.25">
      <c r="F573" s="9"/>
      <c r="G573" s="9"/>
      <c r="H573" s="9"/>
      <c r="I573" s="9"/>
      <c r="J573" s="9"/>
      <c r="K573" s="9"/>
      <c r="L573" s="9"/>
      <c r="M573" s="9"/>
      <c r="N573" s="9"/>
      <c r="O573" s="9"/>
    </row>
    <row r="574" spans="6:15" ht="24.95" customHeight="1" x14ac:dyDescent="0.25">
      <c r="F574" s="9"/>
      <c r="G574" s="9"/>
      <c r="H574" s="9"/>
      <c r="I574" s="9"/>
      <c r="J574" s="9"/>
      <c r="K574" s="9"/>
      <c r="L574" s="9"/>
      <c r="M574" s="9"/>
      <c r="N574" s="9"/>
      <c r="O574" s="9"/>
    </row>
    <row r="575" spans="6:15" ht="24.95" customHeight="1" x14ac:dyDescent="0.25">
      <c r="F575" s="9"/>
      <c r="G575" s="9"/>
      <c r="H575" s="9"/>
      <c r="I575" s="9"/>
      <c r="J575" s="9"/>
      <c r="K575" s="9"/>
      <c r="L575" s="9"/>
      <c r="M575" s="9"/>
      <c r="N575" s="9"/>
      <c r="O575" s="9"/>
    </row>
    <row r="576" spans="6:15" ht="24.95" customHeight="1" x14ac:dyDescent="0.25">
      <c r="F576" s="9"/>
      <c r="G576" s="9"/>
      <c r="H576" s="9"/>
      <c r="I576" s="9"/>
      <c r="J576" s="9"/>
      <c r="K576" s="9"/>
      <c r="L576" s="9"/>
      <c r="M576" s="9"/>
      <c r="N576" s="9"/>
      <c r="O576" s="9"/>
    </row>
    <row r="577" spans="6:15" ht="24.95" customHeight="1" x14ac:dyDescent="0.25">
      <c r="F577" s="9"/>
      <c r="G577" s="9"/>
      <c r="H577" s="9"/>
      <c r="I577" s="9"/>
      <c r="J577" s="9"/>
      <c r="K577" s="9"/>
      <c r="L577" s="9"/>
      <c r="M577" s="9"/>
      <c r="N577" s="9"/>
      <c r="O577" s="9"/>
    </row>
    <row r="578" spans="6:15" ht="24.95" customHeight="1" x14ac:dyDescent="0.25">
      <c r="F578" s="9"/>
      <c r="G578" s="9"/>
      <c r="H578" s="9"/>
      <c r="I578" s="9"/>
      <c r="J578" s="9"/>
      <c r="K578" s="9"/>
      <c r="L578" s="9"/>
      <c r="M578" s="9"/>
      <c r="N578" s="9"/>
      <c r="O578" s="9"/>
    </row>
    <row r="579" spans="6:15" ht="24.95" customHeight="1" x14ac:dyDescent="0.25">
      <c r="F579" s="9"/>
      <c r="G579" s="9"/>
      <c r="H579" s="9"/>
      <c r="I579" s="9"/>
      <c r="J579" s="9"/>
      <c r="K579" s="9"/>
      <c r="L579" s="9"/>
      <c r="M579" s="9"/>
      <c r="N579" s="9"/>
      <c r="O579" s="9"/>
    </row>
    <row r="580" spans="6:15" ht="24.95" customHeight="1" x14ac:dyDescent="0.25">
      <c r="F580" s="9"/>
      <c r="G580" s="9"/>
      <c r="H580" s="9"/>
      <c r="I580" s="9"/>
      <c r="J580" s="9"/>
      <c r="K580" s="9"/>
      <c r="L580" s="9"/>
      <c r="M580" s="9"/>
      <c r="N580" s="9"/>
      <c r="O580" s="9"/>
    </row>
    <row r="581" spans="6:15" ht="24.95" customHeight="1" x14ac:dyDescent="0.25">
      <c r="F581" s="9"/>
      <c r="G581" s="9"/>
      <c r="H581" s="9"/>
      <c r="I581" s="9"/>
      <c r="J581" s="9"/>
      <c r="K581" s="9"/>
      <c r="L581" s="9"/>
      <c r="M581" s="9"/>
      <c r="N581" s="9"/>
      <c r="O581" s="9"/>
    </row>
    <row r="582" spans="6:15" ht="24.95" customHeight="1" x14ac:dyDescent="0.25">
      <c r="F582" s="9"/>
      <c r="G582" s="9"/>
      <c r="H582" s="9"/>
      <c r="I582" s="9"/>
      <c r="J582" s="9"/>
      <c r="K582" s="9"/>
      <c r="L582" s="9"/>
      <c r="M582" s="9"/>
      <c r="N582" s="9"/>
      <c r="O582" s="9"/>
    </row>
    <row r="583" spans="6:15" ht="24.95" customHeight="1" x14ac:dyDescent="0.25">
      <c r="F583" s="9"/>
      <c r="G583" s="9"/>
      <c r="H583" s="9"/>
      <c r="I583" s="9"/>
      <c r="J583" s="9"/>
      <c r="K583" s="9"/>
      <c r="L583" s="9"/>
      <c r="M583" s="9"/>
      <c r="N583" s="9"/>
      <c r="O583" s="9"/>
    </row>
    <row r="584" spans="6:15" ht="24.95" customHeight="1" x14ac:dyDescent="0.25">
      <c r="F584" s="9"/>
      <c r="G584" s="9"/>
      <c r="H584" s="9"/>
      <c r="I584" s="9"/>
      <c r="J584" s="9"/>
      <c r="K584" s="9"/>
      <c r="L584" s="9"/>
      <c r="M584" s="9"/>
      <c r="N584" s="9"/>
      <c r="O584" s="9"/>
    </row>
    <row r="585" spans="6:15" ht="24.95" customHeight="1" x14ac:dyDescent="0.25">
      <c r="F585" s="9"/>
      <c r="G585" s="9"/>
      <c r="H585" s="9"/>
      <c r="I585" s="9"/>
      <c r="J585" s="9"/>
      <c r="K585" s="9"/>
      <c r="L585" s="9"/>
      <c r="M585" s="9"/>
      <c r="N585" s="9"/>
      <c r="O585" s="9"/>
    </row>
    <row r="586" spans="6:15" ht="24.95" customHeight="1" x14ac:dyDescent="0.25">
      <c r="F586" s="9"/>
      <c r="G586" s="9"/>
      <c r="H586" s="9"/>
      <c r="I586" s="9"/>
      <c r="J586" s="9"/>
      <c r="K586" s="9"/>
      <c r="L586" s="9"/>
      <c r="M586" s="9"/>
      <c r="N586" s="9"/>
      <c r="O586" s="9"/>
    </row>
    <row r="587" spans="6:15" ht="24.95" customHeight="1" x14ac:dyDescent="0.25">
      <c r="F587" s="9"/>
      <c r="G587" s="9"/>
      <c r="H587" s="9"/>
      <c r="I587" s="9"/>
      <c r="J587" s="9"/>
      <c r="K587" s="9"/>
      <c r="L587" s="9"/>
      <c r="M587" s="9"/>
      <c r="N587" s="9"/>
      <c r="O587" s="9"/>
    </row>
    <row r="588" spans="6:15" ht="24.95" customHeight="1" x14ac:dyDescent="0.25">
      <c r="F588" s="9"/>
      <c r="G588" s="9"/>
      <c r="H588" s="9"/>
      <c r="I588" s="9"/>
      <c r="J588" s="9"/>
      <c r="K588" s="9"/>
      <c r="L588" s="9"/>
      <c r="M588" s="9"/>
      <c r="N588" s="9"/>
      <c r="O588" s="9"/>
    </row>
    <row r="589" spans="6:15" ht="24.95" customHeight="1" x14ac:dyDescent="0.25">
      <c r="F589" s="9"/>
      <c r="G589" s="9"/>
      <c r="H589" s="9"/>
      <c r="I589" s="9"/>
      <c r="J589" s="9"/>
      <c r="K589" s="9"/>
      <c r="L589" s="9"/>
      <c r="M589" s="9"/>
      <c r="N589" s="9"/>
      <c r="O589" s="9"/>
    </row>
    <row r="590" spans="6:15" ht="24.95" customHeight="1" x14ac:dyDescent="0.25">
      <c r="F590" s="9"/>
      <c r="G590" s="9"/>
      <c r="H590" s="9"/>
      <c r="I590" s="9"/>
      <c r="J590" s="9"/>
      <c r="K590" s="9"/>
      <c r="L590" s="9"/>
      <c r="M590" s="9"/>
      <c r="N590" s="9"/>
      <c r="O590" s="9"/>
    </row>
    <row r="591" spans="6:15" ht="24.95" customHeight="1" x14ac:dyDescent="0.25">
      <c r="F591" s="9"/>
      <c r="G591" s="9"/>
      <c r="H591" s="9"/>
      <c r="I591" s="9"/>
      <c r="J591" s="9"/>
      <c r="K591" s="9"/>
      <c r="L591" s="9"/>
      <c r="M591" s="9"/>
      <c r="N591" s="9"/>
      <c r="O591" s="9"/>
    </row>
    <row r="592" spans="6:15" ht="24.95" customHeight="1" x14ac:dyDescent="0.25">
      <c r="F592" s="9"/>
      <c r="G592" s="9"/>
      <c r="H592" s="9"/>
      <c r="I592" s="9"/>
      <c r="J592" s="9"/>
      <c r="K592" s="9"/>
      <c r="L592" s="9"/>
      <c r="M592" s="9"/>
      <c r="N592" s="9"/>
      <c r="O592" s="9"/>
    </row>
    <row r="593" spans="6:15" ht="24.95" customHeight="1" x14ac:dyDescent="0.25">
      <c r="F593" s="9"/>
      <c r="G593" s="9"/>
      <c r="H593" s="9"/>
      <c r="I593" s="9"/>
      <c r="J593" s="9"/>
      <c r="K593" s="9"/>
      <c r="L593" s="9"/>
      <c r="M593" s="9"/>
      <c r="N593" s="9"/>
      <c r="O593" s="9"/>
    </row>
    <row r="594" spans="6:15" ht="24.95" customHeight="1" x14ac:dyDescent="0.25">
      <c r="F594" s="9"/>
      <c r="G594" s="9"/>
      <c r="H594" s="9"/>
      <c r="I594" s="9"/>
      <c r="J594" s="9"/>
      <c r="K594" s="9"/>
      <c r="L594" s="9"/>
      <c r="M594" s="9"/>
      <c r="N594" s="9"/>
      <c r="O594" s="9"/>
    </row>
    <row r="595" spans="6:15" ht="24.95" customHeight="1" x14ac:dyDescent="0.25">
      <c r="F595" s="9"/>
      <c r="G595" s="9"/>
      <c r="H595" s="9"/>
      <c r="I595" s="9"/>
      <c r="J595" s="9"/>
      <c r="K595" s="9"/>
      <c r="L595" s="9"/>
      <c r="M595" s="9"/>
      <c r="N595" s="9"/>
      <c r="O595" s="9"/>
    </row>
    <row r="596" spans="6:15" ht="24.95" customHeight="1" x14ac:dyDescent="0.25">
      <c r="F596" s="9"/>
      <c r="G596" s="9"/>
      <c r="H596" s="9"/>
      <c r="I596" s="9"/>
      <c r="J596" s="9"/>
      <c r="K596" s="9"/>
      <c r="L596" s="9"/>
      <c r="M596" s="9"/>
      <c r="N596" s="9"/>
      <c r="O596" s="9"/>
    </row>
    <row r="597" spans="6:15" ht="24.95" customHeight="1" x14ac:dyDescent="0.25">
      <c r="F597" s="9"/>
      <c r="G597" s="9"/>
      <c r="H597" s="9"/>
      <c r="I597" s="9"/>
      <c r="J597" s="9"/>
      <c r="K597" s="9"/>
      <c r="L597" s="9"/>
      <c r="M597" s="9"/>
      <c r="N597" s="9"/>
      <c r="O597" s="9"/>
    </row>
    <row r="598" spans="6:15" ht="24.95" customHeight="1" x14ac:dyDescent="0.25">
      <c r="F598" s="9"/>
      <c r="G598" s="9"/>
      <c r="H598" s="9"/>
      <c r="I598" s="9"/>
      <c r="J598" s="9"/>
      <c r="K598" s="9"/>
      <c r="L598" s="9"/>
      <c r="M598" s="9"/>
      <c r="N598" s="9"/>
      <c r="O598" s="9"/>
    </row>
    <row r="599" spans="6:15" ht="24.95" customHeight="1" x14ac:dyDescent="0.25">
      <c r="F599" s="9"/>
      <c r="G599" s="9"/>
      <c r="H599" s="9"/>
      <c r="I599" s="9"/>
      <c r="J599" s="9"/>
      <c r="K599" s="9"/>
      <c r="L599" s="9"/>
      <c r="M599" s="9"/>
      <c r="N599" s="9"/>
      <c r="O599" s="9"/>
    </row>
    <row r="600" spans="6:15" ht="24.95" customHeight="1" x14ac:dyDescent="0.25">
      <c r="F600" s="9"/>
      <c r="G600" s="9"/>
      <c r="H600" s="9"/>
      <c r="I600" s="9"/>
      <c r="J600" s="9"/>
      <c r="K600" s="9"/>
      <c r="L600" s="9"/>
      <c r="M600" s="9"/>
      <c r="N600" s="9"/>
      <c r="O600" s="9"/>
    </row>
    <row r="601" spans="6:15" ht="24.95" customHeight="1" x14ac:dyDescent="0.25">
      <c r="F601" s="9"/>
      <c r="G601" s="9"/>
      <c r="H601" s="9"/>
      <c r="I601" s="9"/>
      <c r="J601" s="9"/>
      <c r="K601" s="9"/>
      <c r="L601" s="9"/>
      <c r="M601" s="9"/>
      <c r="N601" s="9"/>
      <c r="O601" s="9"/>
    </row>
    <row r="602" spans="6:15" ht="24.95" customHeight="1" x14ac:dyDescent="0.25">
      <c r="F602" s="9"/>
      <c r="G602" s="9"/>
      <c r="H602" s="9"/>
      <c r="I602" s="9"/>
      <c r="J602" s="9"/>
      <c r="K602" s="9"/>
      <c r="L602" s="9"/>
      <c r="M602" s="9"/>
      <c r="N602" s="9"/>
      <c r="O602" s="9"/>
    </row>
    <row r="603" spans="6:15" ht="24.95" customHeight="1" x14ac:dyDescent="0.25">
      <c r="F603" s="9"/>
      <c r="G603" s="9"/>
      <c r="H603" s="9"/>
      <c r="I603" s="9"/>
      <c r="J603" s="9"/>
      <c r="K603" s="9"/>
      <c r="L603" s="9"/>
      <c r="M603" s="9"/>
      <c r="N603" s="9"/>
      <c r="O603" s="9"/>
    </row>
    <row r="604" spans="6:15" ht="24.95" customHeight="1" x14ac:dyDescent="0.25">
      <c r="F604" s="9"/>
      <c r="G604" s="9"/>
      <c r="H604" s="9"/>
      <c r="I604" s="9"/>
      <c r="J604" s="9"/>
      <c r="K604" s="9"/>
      <c r="L604" s="9"/>
      <c r="M604" s="9"/>
      <c r="N604" s="9"/>
      <c r="O604" s="9"/>
    </row>
    <row r="605" spans="6:15" ht="24.95" customHeight="1" x14ac:dyDescent="0.25">
      <c r="F605" s="9"/>
      <c r="G605" s="9"/>
      <c r="H605" s="9"/>
      <c r="I605" s="9"/>
      <c r="J605" s="9"/>
      <c r="K605" s="9"/>
      <c r="L605" s="9"/>
      <c r="M605" s="9"/>
      <c r="N605" s="9"/>
      <c r="O605" s="9"/>
    </row>
    <row r="606" spans="6:15" ht="24.95" customHeight="1" x14ac:dyDescent="0.25">
      <c r="F606" s="9"/>
      <c r="G606" s="9"/>
      <c r="H606" s="9"/>
      <c r="I606" s="9"/>
      <c r="J606" s="9"/>
      <c r="K606" s="9"/>
      <c r="L606" s="9"/>
      <c r="M606" s="9"/>
      <c r="N606" s="9"/>
      <c r="O606" s="9"/>
    </row>
    <row r="607" spans="6:15" ht="24.95" customHeight="1" x14ac:dyDescent="0.25">
      <c r="F607" s="9"/>
      <c r="G607" s="9"/>
      <c r="H607" s="9"/>
      <c r="I607" s="9"/>
      <c r="J607" s="9"/>
      <c r="K607" s="9"/>
      <c r="L607" s="9"/>
      <c r="M607" s="9"/>
      <c r="N607" s="9"/>
      <c r="O607" s="9"/>
    </row>
    <row r="608" spans="6:15" ht="24.95" customHeight="1" x14ac:dyDescent="0.25">
      <c r="F608" s="9"/>
      <c r="G608" s="9"/>
      <c r="H608" s="9"/>
      <c r="I608" s="9"/>
      <c r="J608" s="9"/>
      <c r="K608" s="9"/>
      <c r="L608" s="9"/>
      <c r="M608" s="9"/>
      <c r="N608" s="9"/>
      <c r="O608" s="9"/>
    </row>
    <row r="609" spans="6:15" ht="24.95" customHeight="1" x14ac:dyDescent="0.25">
      <c r="F609" s="9"/>
      <c r="G609" s="9"/>
      <c r="H609" s="9"/>
      <c r="I609" s="9"/>
      <c r="J609" s="9"/>
      <c r="K609" s="9"/>
      <c r="L609" s="9"/>
      <c r="M609" s="9"/>
      <c r="N609" s="9"/>
      <c r="O609" s="9"/>
    </row>
    <row r="610" spans="6:15" ht="24.95" customHeight="1" x14ac:dyDescent="0.25">
      <c r="F610" s="9"/>
      <c r="G610" s="9"/>
      <c r="H610" s="9"/>
      <c r="I610" s="9"/>
      <c r="J610" s="9"/>
      <c r="K610" s="9"/>
      <c r="L610" s="9"/>
      <c r="M610" s="9"/>
      <c r="N610" s="9"/>
      <c r="O610" s="9"/>
    </row>
    <row r="611" spans="6:15" ht="24.95" customHeight="1" x14ac:dyDescent="0.25">
      <c r="F611" s="9"/>
      <c r="G611" s="9"/>
      <c r="H611" s="9"/>
      <c r="I611" s="9"/>
      <c r="J611" s="9"/>
      <c r="K611" s="9"/>
      <c r="L611" s="9"/>
      <c r="M611" s="9"/>
      <c r="N611" s="9"/>
      <c r="O611" s="9"/>
    </row>
    <row r="612" spans="6:15" ht="24.95" customHeight="1" x14ac:dyDescent="0.25">
      <c r="F612" s="9"/>
      <c r="G612" s="9"/>
      <c r="H612" s="9"/>
      <c r="I612" s="9"/>
      <c r="J612" s="9"/>
      <c r="K612" s="9"/>
      <c r="L612" s="9"/>
      <c r="M612" s="9"/>
      <c r="N612" s="9"/>
      <c r="O612" s="9"/>
    </row>
    <row r="613" spans="6:15" ht="24.95" customHeight="1" x14ac:dyDescent="0.25">
      <c r="F613" s="9"/>
      <c r="G613" s="9"/>
      <c r="H613" s="9"/>
      <c r="I613" s="9"/>
      <c r="J613" s="9"/>
      <c r="K613" s="9"/>
      <c r="L613" s="9"/>
      <c r="M613" s="9"/>
      <c r="N613" s="9"/>
      <c r="O613" s="9"/>
    </row>
    <row r="614" spans="6:15" ht="24.95" customHeight="1" x14ac:dyDescent="0.25">
      <c r="F614" s="9"/>
      <c r="G614" s="9"/>
      <c r="H614" s="9"/>
      <c r="I614" s="9"/>
      <c r="J614" s="9"/>
      <c r="K614" s="9"/>
      <c r="L614" s="9"/>
      <c r="M614" s="9"/>
      <c r="N614" s="9"/>
      <c r="O614" s="9"/>
    </row>
    <row r="615" spans="6:15" ht="24.95" customHeight="1" x14ac:dyDescent="0.25">
      <c r="F615" s="9"/>
      <c r="G615" s="9"/>
      <c r="H615" s="9"/>
      <c r="I615" s="9"/>
      <c r="J615" s="9"/>
      <c r="K615" s="9"/>
      <c r="L615" s="9"/>
      <c r="M615" s="9"/>
      <c r="N615" s="9"/>
      <c r="O615" s="9"/>
    </row>
    <row r="616" spans="6:15" ht="24.95" customHeight="1" x14ac:dyDescent="0.25">
      <c r="F616" s="9"/>
      <c r="G616" s="9"/>
      <c r="H616" s="9"/>
      <c r="I616" s="9"/>
      <c r="J616" s="9"/>
      <c r="K616" s="9"/>
      <c r="L616" s="9"/>
      <c r="M616" s="9"/>
      <c r="N616" s="9"/>
      <c r="O616" s="9"/>
    </row>
    <row r="617" spans="6:15" ht="24.95" customHeight="1" x14ac:dyDescent="0.25">
      <c r="F617" s="9"/>
      <c r="G617" s="9"/>
      <c r="H617" s="9"/>
      <c r="I617" s="9"/>
      <c r="J617" s="9"/>
      <c r="K617" s="9"/>
      <c r="L617" s="9"/>
      <c r="M617" s="9"/>
      <c r="N617" s="9"/>
      <c r="O617" s="9"/>
    </row>
    <row r="618" spans="6:15" ht="24.95" customHeight="1" x14ac:dyDescent="0.25">
      <c r="F618" s="9"/>
      <c r="G618" s="9"/>
      <c r="H618" s="9"/>
      <c r="I618" s="9"/>
      <c r="J618" s="9"/>
      <c r="K618" s="9"/>
      <c r="L618" s="9"/>
      <c r="M618" s="9"/>
      <c r="N618" s="9"/>
      <c r="O618" s="9"/>
    </row>
    <row r="619" spans="6:15" ht="24.95" customHeight="1" x14ac:dyDescent="0.25">
      <c r="F619" s="9"/>
      <c r="G619" s="9"/>
      <c r="H619" s="9"/>
      <c r="I619" s="9"/>
      <c r="J619" s="9"/>
      <c r="K619" s="9"/>
      <c r="L619" s="9"/>
      <c r="M619" s="9"/>
      <c r="N619" s="9"/>
      <c r="O619" s="9"/>
    </row>
    <row r="620" spans="6:15" ht="24.95" customHeight="1" x14ac:dyDescent="0.25">
      <c r="F620" s="9"/>
      <c r="G620" s="9"/>
      <c r="H620" s="9"/>
      <c r="I620" s="9"/>
      <c r="J620" s="9"/>
      <c r="K620" s="9"/>
      <c r="L620" s="9"/>
      <c r="M620" s="9"/>
      <c r="N620" s="9"/>
      <c r="O620" s="9"/>
    </row>
    <row r="621" spans="6:15" ht="24.95" customHeight="1" x14ac:dyDescent="0.25">
      <c r="F621" s="9"/>
      <c r="G621" s="9"/>
      <c r="H621" s="9"/>
      <c r="I621" s="9"/>
      <c r="J621" s="9"/>
      <c r="K621" s="9"/>
      <c r="L621" s="9"/>
      <c r="M621" s="9"/>
      <c r="N621" s="9"/>
      <c r="O621" s="9"/>
    </row>
    <row r="622" spans="6:15" ht="24.95" customHeight="1" x14ac:dyDescent="0.25">
      <c r="F622" s="9"/>
      <c r="G622" s="9"/>
      <c r="H622" s="9"/>
      <c r="I622" s="9"/>
      <c r="J622" s="9"/>
      <c r="K622" s="9"/>
      <c r="L622" s="9"/>
      <c r="M622" s="9"/>
      <c r="N622" s="9"/>
      <c r="O622" s="9"/>
    </row>
    <row r="623" spans="6:15" ht="24.95" customHeight="1" x14ac:dyDescent="0.25">
      <c r="F623" s="9"/>
      <c r="G623" s="9"/>
      <c r="H623" s="9"/>
      <c r="I623" s="9"/>
      <c r="J623" s="9"/>
      <c r="K623" s="9"/>
      <c r="L623" s="9"/>
      <c r="M623" s="9"/>
      <c r="N623" s="9"/>
      <c r="O623" s="9"/>
    </row>
    <row r="624" spans="6:15" ht="24.95" customHeight="1" x14ac:dyDescent="0.25">
      <c r="F624" s="9"/>
      <c r="G624" s="9"/>
      <c r="H624" s="9"/>
      <c r="I624" s="9"/>
      <c r="J624" s="9"/>
      <c r="K624" s="9"/>
      <c r="L624" s="9"/>
      <c r="M624" s="9"/>
      <c r="N624" s="9"/>
      <c r="O624" s="9"/>
    </row>
    <row r="625" spans="6:15" ht="24.95" customHeight="1" x14ac:dyDescent="0.25">
      <c r="F625" s="9"/>
      <c r="G625" s="9"/>
      <c r="H625" s="9"/>
      <c r="I625" s="9"/>
      <c r="J625" s="9"/>
      <c r="K625" s="9"/>
      <c r="L625" s="9"/>
      <c r="M625" s="9"/>
      <c r="N625" s="9"/>
      <c r="O625" s="9"/>
    </row>
    <row r="626" spans="6:15" ht="24.95" customHeight="1" x14ac:dyDescent="0.25">
      <c r="F626" s="9"/>
      <c r="G626" s="9"/>
      <c r="H626" s="9"/>
      <c r="I626" s="9"/>
      <c r="J626" s="9"/>
      <c r="K626" s="9"/>
      <c r="L626" s="9"/>
      <c r="M626" s="9"/>
      <c r="N626" s="9"/>
      <c r="O626" s="9"/>
    </row>
    <row r="627" spans="6:15" ht="24.95" customHeight="1" x14ac:dyDescent="0.25">
      <c r="F627" s="9"/>
      <c r="G627" s="9"/>
      <c r="H627" s="9"/>
      <c r="I627" s="9"/>
      <c r="J627" s="9"/>
      <c r="K627" s="9"/>
      <c r="L627" s="9"/>
      <c r="M627" s="9"/>
      <c r="N627" s="9"/>
      <c r="O627" s="9"/>
    </row>
    <row r="628" spans="6:15" ht="24.95" customHeight="1" x14ac:dyDescent="0.25">
      <c r="F628" s="9"/>
      <c r="G628" s="9"/>
      <c r="H628" s="9"/>
      <c r="I628" s="9"/>
      <c r="J628" s="9"/>
      <c r="K628" s="9"/>
      <c r="L628" s="9"/>
      <c r="M628" s="9"/>
      <c r="N628" s="9"/>
      <c r="O628" s="9"/>
    </row>
    <row r="629" spans="6:15" ht="24.95" customHeight="1" x14ac:dyDescent="0.25">
      <c r="F629" s="9"/>
      <c r="G629" s="9"/>
      <c r="H629" s="9"/>
      <c r="I629" s="9"/>
      <c r="J629" s="9"/>
      <c r="K629" s="9"/>
      <c r="L629" s="9"/>
      <c r="M629" s="9"/>
      <c r="N629" s="9"/>
      <c r="O629" s="9"/>
    </row>
    <row r="630" spans="6:15" ht="24.95" customHeight="1" x14ac:dyDescent="0.25">
      <c r="F630" s="9"/>
      <c r="G630" s="9"/>
      <c r="H630" s="9"/>
      <c r="I630" s="9"/>
      <c r="J630" s="9"/>
      <c r="K630" s="9"/>
      <c r="L630" s="9"/>
      <c r="M630" s="9"/>
      <c r="N630" s="9"/>
      <c r="O630" s="9"/>
    </row>
    <row r="631" spans="6:15" ht="24.95" customHeight="1" x14ac:dyDescent="0.25">
      <c r="F631" s="9"/>
      <c r="G631" s="9"/>
      <c r="H631" s="9"/>
      <c r="I631" s="9"/>
      <c r="J631" s="9"/>
      <c r="K631" s="9"/>
      <c r="L631" s="9"/>
      <c r="M631" s="9"/>
      <c r="N631" s="9"/>
      <c r="O631" s="9"/>
    </row>
    <row r="632" spans="6:15" ht="24.95" customHeight="1" x14ac:dyDescent="0.25">
      <c r="F632" s="9"/>
      <c r="G632" s="9"/>
      <c r="H632" s="9"/>
      <c r="I632" s="9"/>
      <c r="J632" s="9"/>
      <c r="K632" s="9"/>
      <c r="L632" s="9"/>
      <c r="M632" s="9"/>
      <c r="N632" s="9"/>
      <c r="O632" s="9"/>
    </row>
    <row r="633" spans="6:15" ht="24.95" customHeight="1" x14ac:dyDescent="0.25">
      <c r="F633" s="9"/>
      <c r="G633" s="9"/>
      <c r="H633" s="9"/>
      <c r="I633" s="9"/>
      <c r="J633" s="9"/>
      <c r="K633" s="9"/>
      <c r="L633" s="9"/>
      <c r="M633" s="9"/>
      <c r="N633" s="9"/>
      <c r="O633" s="9"/>
    </row>
    <row r="634" spans="6:15" ht="24.95" customHeight="1" x14ac:dyDescent="0.25">
      <c r="F634" s="9"/>
      <c r="G634" s="9"/>
      <c r="H634" s="9"/>
      <c r="I634" s="9"/>
      <c r="J634" s="9"/>
      <c r="K634" s="9"/>
      <c r="L634" s="9"/>
      <c r="M634" s="9"/>
      <c r="N634" s="9"/>
      <c r="O634" s="9"/>
    </row>
    <row r="635" spans="6:15" ht="24.95" customHeight="1" x14ac:dyDescent="0.25">
      <c r="F635" s="9"/>
      <c r="G635" s="9"/>
      <c r="H635" s="9"/>
      <c r="I635" s="9"/>
      <c r="J635" s="9"/>
      <c r="K635" s="9"/>
      <c r="L635" s="9"/>
      <c r="M635" s="9"/>
      <c r="N635" s="9"/>
      <c r="O635" s="9"/>
    </row>
    <row r="636" spans="6:15" ht="24.95" customHeight="1" x14ac:dyDescent="0.25">
      <c r="F636" s="9"/>
      <c r="G636" s="9"/>
      <c r="H636" s="9"/>
      <c r="I636" s="9"/>
      <c r="J636" s="9"/>
      <c r="K636" s="9"/>
      <c r="L636" s="9"/>
      <c r="M636" s="9"/>
      <c r="N636" s="9"/>
      <c r="O636" s="9"/>
    </row>
    <row r="637" spans="6:15" ht="24.95" customHeight="1" x14ac:dyDescent="0.25">
      <c r="F637" s="9"/>
      <c r="G637" s="9"/>
      <c r="H637" s="9"/>
      <c r="I637" s="9"/>
      <c r="J637" s="9"/>
      <c r="K637" s="9"/>
      <c r="L637" s="9"/>
      <c r="M637" s="9"/>
      <c r="N637" s="9"/>
      <c r="O637" s="9"/>
    </row>
    <row r="638" spans="6:15" ht="24.95" customHeight="1" x14ac:dyDescent="0.25">
      <c r="F638" s="9"/>
      <c r="G638" s="9"/>
      <c r="H638" s="9"/>
      <c r="I638" s="9"/>
      <c r="J638" s="9"/>
      <c r="K638" s="9"/>
      <c r="L638" s="9"/>
      <c r="M638" s="9"/>
      <c r="N638" s="9"/>
      <c r="O638" s="9"/>
    </row>
    <row r="639" spans="6:15" ht="24.95" customHeight="1" x14ac:dyDescent="0.25">
      <c r="F639" s="9"/>
      <c r="G639" s="9"/>
      <c r="H639" s="9"/>
      <c r="I639" s="9"/>
      <c r="J639" s="9"/>
      <c r="K639" s="9"/>
      <c r="L639" s="9"/>
      <c r="M639" s="9"/>
      <c r="N639" s="9"/>
      <c r="O639" s="9"/>
    </row>
    <row r="640" spans="6:15" ht="24.95" customHeight="1" x14ac:dyDescent="0.25">
      <c r="F640" s="9"/>
      <c r="G640" s="9"/>
      <c r="H640" s="9"/>
      <c r="I640" s="9"/>
      <c r="J640" s="9"/>
      <c r="K640" s="9"/>
      <c r="L640" s="9"/>
      <c r="M640" s="9"/>
      <c r="N640" s="9"/>
      <c r="O640" s="9"/>
    </row>
    <row r="641" spans="6:15" ht="24.95" customHeight="1" x14ac:dyDescent="0.25">
      <c r="F641" s="9"/>
      <c r="G641" s="9"/>
      <c r="H641" s="9"/>
      <c r="I641" s="9"/>
      <c r="J641" s="9"/>
      <c r="K641" s="9"/>
      <c r="L641" s="9"/>
      <c r="M641" s="9"/>
      <c r="N641" s="9"/>
      <c r="O641" s="9"/>
    </row>
    <row r="642" spans="6:15" ht="24.95" customHeight="1" x14ac:dyDescent="0.25">
      <c r="F642" s="9"/>
      <c r="G642" s="9"/>
      <c r="H642" s="9"/>
      <c r="I642" s="9"/>
      <c r="J642" s="9"/>
      <c r="K642" s="9"/>
      <c r="L642" s="9"/>
      <c r="M642" s="9"/>
      <c r="N642" s="9"/>
      <c r="O642" s="9"/>
    </row>
    <row r="643" spans="6:15" ht="24.95" customHeight="1" x14ac:dyDescent="0.25">
      <c r="F643" s="9"/>
      <c r="G643" s="9"/>
      <c r="H643" s="9"/>
      <c r="I643" s="9"/>
      <c r="J643" s="9"/>
      <c r="K643" s="9"/>
      <c r="L643" s="9"/>
      <c r="M643" s="9"/>
      <c r="N643" s="9"/>
      <c r="O643" s="9"/>
    </row>
    <row r="644" spans="6:15" ht="24.95" customHeight="1" x14ac:dyDescent="0.25">
      <c r="F644" s="9"/>
      <c r="G644" s="9"/>
      <c r="H644" s="9"/>
      <c r="I644" s="9"/>
      <c r="J644" s="9"/>
      <c r="K644" s="9"/>
      <c r="L644" s="9"/>
      <c r="M644" s="9"/>
      <c r="N644" s="9"/>
      <c r="O644" s="9"/>
    </row>
    <row r="645" spans="6:15" ht="24.95" customHeight="1" x14ac:dyDescent="0.25">
      <c r="F645" s="9"/>
      <c r="G645" s="9"/>
      <c r="H645" s="9"/>
      <c r="I645" s="9"/>
      <c r="J645" s="9"/>
      <c r="K645" s="9"/>
      <c r="L645" s="9"/>
      <c r="M645" s="9"/>
      <c r="N645" s="9"/>
      <c r="O645" s="9"/>
    </row>
    <row r="646" spans="6:15" ht="24.95" customHeight="1" x14ac:dyDescent="0.25">
      <c r="F646" s="9"/>
      <c r="G646" s="9"/>
      <c r="H646" s="9"/>
      <c r="I646" s="9"/>
      <c r="J646" s="9"/>
      <c r="K646" s="9"/>
      <c r="L646" s="9"/>
      <c r="M646" s="9"/>
      <c r="N646" s="9"/>
      <c r="O646" s="9"/>
    </row>
    <row r="647" spans="6:15" ht="24.95" customHeight="1" x14ac:dyDescent="0.25">
      <c r="F647" s="9"/>
      <c r="G647" s="9"/>
      <c r="H647" s="9"/>
      <c r="I647" s="9"/>
      <c r="J647" s="9"/>
      <c r="K647" s="9"/>
      <c r="L647" s="9"/>
      <c r="M647" s="9"/>
      <c r="N647" s="9"/>
      <c r="O647" s="9"/>
    </row>
    <row r="648" spans="6:15" ht="24.95" customHeight="1" x14ac:dyDescent="0.25">
      <c r="F648" s="9"/>
      <c r="G648" s="9"/>
      <c r="H648" s="9"/>
      <c r="I648" s="9"/>
      <c r="J648" s="9"/>
      <c r="K648" s="9"/>
      <c r="L648" s="9"/>
      <c r="M648" s="9"/>
      <c r="N648" s="9"/>
      <c r="O648" s="9"/>
    </row>
    <row r="649" spans="6:15" ht="24.95" customHeight="1" x14ac:dyDescent="0.25">
      <c r="F649" s="9"/>
      <c r="G649" s="9"/>
      <c r="H649" s="9"/>
      <c r="I649" s="9"/>
      <c r="J649" s="9"/>
      <c r="K649" s="9"/>
      <c r="L649" s="9"/>
      <c r="M649" s="9"/>
      <c r="N649" s="9"/>
      <c r="O649" s="9"/>
    </row>
    <row r="650" spans="6:15" ht="24.95" customHeight="1" x14ac:dyDescent="0.25">
      <c r="F650" s="9"/>
      <c r="G650" s="9"/>
      <c r="H650" s="9"/>
      <c r="I650" s="9"/>
      <c r="J650" s="9"/>
      <c r="K650" s="9"/>
      <c r="L650" s="9"/>
      <c r="M650" s="9"/>
      <c r="N650" s="9"/>
      <c r="O650" s="9"/>
    </row>
    <row r="651" spans="6:15" ht="24.95" customHeight="1" x14ac:dyDescent="0.25">
      <c r="F651" s="9"/>
      <c r="G651" s="9"/>
      <c r="H651" s="9"/>
      <c r="I651" s="9"/>
      <c r="J651" s="9"/>
      <c r="K651" s="9"/>
      <c r="L651" s="9"/>
      <c r="M651" s="9"/>
      <c r="N651" s="9"/>
      <c r="O651" s="9"/>
    </row>
    <row r="652" spans="6:15" ht="24.95" customHeight="1" x14ac:dyDescent="0.25">
      <c r="F652" s="9"/>
      <c r="G652" s="9"/>
      <c r="H652" s="9"/>
      <c r="I652" s="9"/>
      <c r="J652" s="9"/>
      <c r="K652" s="9"/>
      <c r="L652" s="9"/>
      <c r="M652" s="9"/>
      <c r="N652" s="9"/>
      <c r="O652" s="9"/>
    </row>
    <row r="653" spans="6:15" ht="24.95" customHeight="1" x14ac:dyDescent="0.25">
      <c r="F653" s="9"/>
      <c r="G653" s="9"/>
      <c r="H653" s="9"/>
      <c r="I653" s="9"/>
      <c r="J653" s="9"/>
      <c r="K653" s="9"/>
      <c r="L653" s="9"/>
      <c r="M653" s="9"/>
      <c r="N653" s="9"/>
      <c r="O653" s="9"/>
    </row>
    <row r="654" spans="6:15" ht="24.95" customHeight="1" x14ac:dyDescent="0.25">
      <c r="F654" s="9"/>
      <c r="G654" s="9"/>
      <c r="H654" s="9"/>
      <c r="I654" s="9"/>
      <c r="J654" s="9"/>
      <c r="K654" s="9"/>
      <c r="L654" s="9"/>
      <c r="M654" s="9"/>
      <c r="N654" s="9"/>
      <c r="O654" s="9"/>
    </row>
    <row r="655" spans="6:15" ht="24.95" customHeight="1" x14ac:dyDescent="0.25">
      <c r="F655" s="9"/>
      <c r="G655" s="9"/>
      <c r="H655" s="9"/>
      <c r="I655" s="9"/>
      <c r="J655" s="9"/>
      <c r="K655" s="9"/>
      <c r="L655" s="9"/>
      <c r="M655" s="9"/>
      <c r="N655" s="9"/>
      <c r="O655" s="9"/>
    </row>
    <row r="656" spans="6:15" ht="24.95" customHeight="1" x14ac:dyDescent="0.25">
      <c r="F656" s="9"/>
      <c r="G656" s="9"/>
      <c r="H656" s="9"/>
      <c r="I656" s="9"/>
      <c r="J656" s="9"/>
      <c r="K656" s="9"/>
      <c r="L656" s="9"/>
      <c r="M656" s="9"/>
      <c r="N656" s="9"/>
      <c r="O656" s="9"/>
    </row>
    <row r="657" spans="6:15" ht="24.95" customHeight="1" x14ac:dyDescent="0.25">
      <c r="F657" s="9"/>
      <c r="G657" s="9"/>
      <c r="H657" s="9"/>
      <c r="I657" s="9"/>
      <c r="J657" s="9"/>
      <c r="K657" s="9"/>
      <c r="L657" s="9"/>
      <c r="M657" s="9"/>
      <c r="N657" s="9"/>
      <c r="O657" s="9"/>
    </row>
    <row r="658" spans="6:15" ht="24.95" customHeight="1" x14ac:dyDescent="0.25">
      <c r="F658" s="9"/>
      <c r="G658" s="9"/>
      <c r="H658" s="9"/>
      <c r="I658" s="9"/>
      <c r="J658" s="9"/>
      <c r="K658" s="9"/>
      <c r="L658" s="9"/>
      <c r="M658" s="9"/>
      <c r="N658" s="9"/>
      <c r="O658" s="9"/>
    </row>
    <row r="659" spans="6:15" ht="24.95" customHeight="1" x14ac:dyDescent="0.25">
      <c r="F659" s="9"/>
      <c r="G659" s="9"/>
      <c r="H659" s="9"/>
      <c r="I659" s="9"/>
      <c r="J659" s="9"/>
      <c r="K659" s="9"/>
      <c r="L659" s="9"/>
      <c r="M659" s="9"/>
      <c r="N659" s="9"/>
      <c r="O659" s="9"/>
    </row>
    <row r="660" spans="6:15" ht="24.95" customHeight="1" x14ac:dyDescent="0.25">
      <c r="F660" s="9"/>
      <c r="G660" s="9"/>
      <c r="H660" s="9"/>
      <c r="I660" s="9"/>
      <c r="J660" s="9"/>
      <c r="K660" s="9"/>
      <c r="L660" s="9"/>
      <c r="M660" s="9"/>
      <c r="N660" s="9"/>
      <c r="O660" s="9"/>
    </row>
    <row r="661" spans="6:15" ht="24.95" customHeight="1" x14ac:dyDescent="0.25">
      <c r="F661" s="9"/>
      <c r="G661" s="9"/>
      <c r="H661" s="9"/>
      <c r="I661" s="9"/>
      <c r="J661" s="9"/>
      <c r="K661" s="9"/>
      <c r="L661" s="9"/>
      <c r="M661" s="9"/>
      <c r="N661" s="9"/>
      <c r="O661" s="9"/>
    </row>
    <row r="662" spans="6:15" ht="24.95" customHeight="1" x14ac:dyDescent="0.25">
      <c r="F662" s="9"/>
      <c r="G662" s="9"/>
      <c r="H662" s="9"/>
      <c r="I662" s="9"/>
      <c r="J662" s="9"/>
      <c r="K662" s="9"/>
      <c r="L662" s="9"/>
      <c r="M662" s="9"/>
      <c r="N662" s="9"/>
      <c r="O662" s="9"/>
    </row>
    <row r="663" spans="6:15" ht="24.95" customHeight="1" x14ac:dyDescent="0.25">
      <c r="F663" s="9"/>
      <c r="G663" s="9"/>
      <c r="H663" s="9"/>
      <c r="I663" s="9"/>
      <c r="J663" s="9"/>
      <c r="K663" s="9"/>
      <c r="L663" s="9"/>
      <c r="M663" s="9"/>
      <c r="N663" s="9"/>
      <c r="O663" s="9"/>
    </row>
    <row r="664" spans="6:15" ht="24.95" customHeight="1" x14ac:dyDescent="0.25">
      <c r="F664" s="9"/>
      <c r="G664" s="9"/>
      <c r="H664" s="9"/>
      <c r="I664" s="9"/>
      <c r="J664" s="9"/>
      <c r="K664" s="9"/>
      <c r="L664" s="9"/>
      <c r="M664" s="9"/>
      <c r="N664" s="9"/>
      <c r="O664" s="9"/>
    </row>
    <row r="665" spans="6:15" ht="24.95" customHeight="1" x14ac:dyDescent="0.25">
      <c r="F665" s="9"/>
      <c r="G665" s="9"/>
      <c r="H665" s="9"/>
      <c r="I665" s="9"/>
      <c r="J665" s="9"/>
      <c r="K665" s="9"/>
      <c r="L665" s="9"/>
      <c r="M665" s="9"/>
      <c r="N665" s="9"/>
      <c r="O665" s="9"/>
    </row>
    <row r="666" spans="6:15" ht="24.95" customHeight="1" x14ac:dyDescent="0.25">
      <c r="G666" s="9"/>
      <c r="H666" s="9"/>
      <c r="I666" s="9"/>
      <c r="J666" s="9"/>
      <c r="K666" s="9"/>
      <c r="L666" s="9"/>
      <c r="M666" s="9"/>
      <c r="N666" s="9"/>
      <c r="O666" s="9"/>
    </row>
    <row r="667" spans="6:15" ht="24.95" customHeight="1" x14ac:dyDescent="0.25">
      <c r="G667" s="9"/>
      <c r="H667" s="9"/>
      <c r="I667" s="9"/>
      <c r="J667" s="9"/>
      <c r="K667" s="9"/>
      <c r="L667" s="9"/>
      <c r="M667" s="9"/>
      <c r="N667" s="9"/>
      <c r="O667" s="9"/>
    </row>
    <row r="668" spans="6:15" ht="24.95" customHeight="1" x14ac:dyDescent="0.25">
      <c r="G668" s="9"/>
      <c r="H668" s="9"/>
      <c r="I668" s="9"/>
      <c r="J668" s="9"/>
      <c r="K668" s="9"/>
      <c r="L668" s="9"/>
      <c r="M668" s="9"/>
      <c r="N668" s="9"/>
      <c r="O668" s="9"/>
    </row>
    <row r="669" spans="6:15" ht="24.95" customHeight="1" x14ac:dyDescent="0.25">
      <c r="G669" s="9"/>
      <c r="H669" s="9"/>
      <c r="I669" s="9"/>
      <c r="J669" s="9"/>
      <c r="K669" s="9"/>
      <c r="L669" s="9"/>
      <c r="M669" s="9"/>
      <c r="N669" s="9"/>
      <c r="O669" s="9"/>
    </row>
    <row r="670" spans="6:15" ht="24.95" customHeight="1" x14ac:dyDescent="0.25">
      <c r="G670" s="9"/>
      <c r="H670" s="9"/>
      <c r="I670" s="9"/>
      <c r="J670" s="9"/>
      <c r="K670" s="9"/>
      <c r="L670" s="9"/>
      <c r="M670" s="9"/>
      <c r="N670" s="9"/>
      <c r="O670" s="9"/>
    </row>
    <row r="671" spans="6:15" ht="24.95" customHeight="1" x14ac:dyDescent="0.25">
      <c r="G671" s="9"/>
      <c r="H671" s="9"/>
      <c r="I671" s="9"/>
      <c r="J671" s="9"/>
      <c r="K671" s="9"/>
      <c r="L671" s="9"/>
      <c r="M671" s="9"/>
      <c r="N671" s="9"/>
      <c r="O671" s="9"/>
    </row>
    <row r="672" spans="6:15" ht="24.95" customHeight="1" x14ac:dyDescent="0.25">
      <c r="G672" s="9"/>
      <c r="H672" s="9"/>
      <c r="I672" s="9"/>
      <c r="J672" s="9"/>
      <c r="K672" s="9"/>
      <c r="L672" s="9"/>
      <c r="M672" s="9"/>
      <c r="N672" s="9"/>
      <c r="O672" s="9"/>
    </row>
    <row r="673" spans="7:15" ht="24.95" customHeight="1" x14ac:dyDescent="0.25">
      <c r="G673" s="9"/>
      <c r="H673" s="9"/>
      <c r="I673" s="9"/>
      <c r="J673" s="9"/>
      <c r="K673" s="9"/>
      <c r="L673" s="9"/>
      <c r="M673" s="9"/>
      <c r="N673" s="9"/>
      <c r="O673" s="9"/>
    </row>
    <row r="674" spans="7:15" ht="24.95" customHeight="1" x14ac:dyDescent="0.25">
      <c r="G674" s="9"/>
      <c r="H674" s="9"/>
      <c r="I674" s="9"/>
      <c r="J674" s="9"/>
      <c r="K674" s="9"/>
      <c r="L674" s="9"/>
      <c r="M674" s="9"/>
      <c r="N674" s="9"/>
      <c r="O674" s="9"/>
    </row>
    <row r="675" spans="7:15" ht="24.95" customHeight="1" x14ac:dyDescent="0.25">
      <c r="G675" s="9"/>
      <c r="H675" s="9"/>
      <c r="I675" s="9"/>
      <c r="J675" s="9"/>
      <c r="K675" s="9"/>
      <c r="L675" s="9"/>
      <c r="M675" s="9"/>
      <c r="N675" s="9"/>
      <c r="O675" s="9"/>
    </row>
    <row r="676" spans="7:15" ht="24.95" customHeight="1" x14ac:dyDescent="0.25">
      <c r="G676" s="9"/>
      <c r="H676" s="9"/>
      <c r="I676" s="9"/>
      <c r="J676" s="9"/>
      <c r="K676" s="9"/>
      <c r="L676" s="9"/>
      <c r="M676" s="9"/>
      <c r="N676" s="9"/>
      <c r="O676" s="9"/>
    </row>
    <row r="677" spans="7:15" ht="24.95" customHeight="1" x14ac:dyDescent="0.25">
      <c r="G677" s="9"/>
      <c r="H677" s="9"/>
      <c r="I677" s="9"/>
      <c r="J677" s="9"/>
      <c r="K677" s="9"/>
      <c r="L677" s="9"/>
      <c r="M677" s="9"/>
      <c r="N677" s="9"/>
      <c r="O677" s="9"/>
    </row>
    <row r="678" spans="7:15" ht="24.95" customHeight="1" x14ac:dyDescent="0.25">
      <c r="G678" s="9"/>
      <c r="H678" s="9"/>
      <c r="I678" s="9"/>
      <c r="J678" s="9"/>
      <c r="K678" s="9"/>
      <c r="L678" s="9"/>
      <c r="M678" s="9"/>
      <c r="N678" s="9"/>
      <c r="O678" s="9"/>
    </row>
    <row r="679" spans="7:15" ht="24.95" customHeight="1" x14ac:dyDescent="0.25">
      <c r="G679" s="9"/>
      <c r="H679" s="9"/>
      <c r="I679" s="9"/>
      <c r="J679" s="9"/>
      <c r="K679" s="9"/>
      <c r="L679" s="9"/>
      <c r="M679" s="9"/>
      <c r="N679" s="9"/>
      <c r="O679" s="9"/>
    </row>
    <row r="680" spans="7:15" ht="24.95" customHeight="1" x14ac:dyDescent="0.25">
      <c r="G680" s="9"/>
      <c r="H680" s="9"/>
      <c r="I680" s="9"/>
      <c r="J680" s="9"/>
      <c r="K680" s="9"/>
      <c r="L680" s="9"/>
      <c r="M680" s="9"/>
      <c r="N680" s="9"/>
      <c r="O680" s="9"/>
    </row>
    <row r="681" spans="7:15" ht="24.95" customHeight="1" x14ac:dyDescent="0.25">
      <c r="G681" s="9"/>
      <c r="H681" s="9"/>
      <c r="I681" s="9"/>
      <c r="J681" s="9"/>
      <c r="K681" s="9"/>
      <c r="L681" s="9"/>
      <c r="M681" s="9"/>
      <c r="N681" s="9"/>
      <c r="O681" s="9"/>
    </row>
    <row r="682" spans="7:15" ht="24.95" customHeight="1" x14ac:dyDescent="0.25">
      <c r="G682" s="9"/>
      <c r="H682" s="9"/>
      <c r="I682" s="9"/>
      <c r="J682" s="9"/>
      <c r="K682" s="9"/>
      <c r="L682" s="9"/>
      <c r="M682" s="9"/>
      <c r="N682" s="9"/>
      <c r="O682" s="9"/>
    </row>
    <row r="683" spans="7:15" ht="24.95" customHeight="1" x14ac:dyDescent="0.25">
      <c r="G683" s="9"/>
      <c r="H683" s="9"/>
      <c r="I683" s="9"/>
      <c r="J683" s="9"/>
      <c r="K683" s="9"/>
      <c r="L683" s="9"/>
      <c r="M683" s="9"/>
      <c r="N683" s="9"/>
      <c r="O683" s="9"/>
    </row>
    <row r="684" spans="7:15" ht="24.95" customHeight="1" x14ac:dyDescent="0.25">
      <c r="G684" s="9"/>
      <c r="H684" s="9"/>
      <c r="I684" s="9"/>
      <c r="J684" s="9"/>
      <c r="K684" s="9"/>
      <c r="L684" s="9"/>
      <c r="M684" s="9"/>
      <c r="N684" s="9"/>
      <c r="O684" s="9"/>
    </row>
    <row r="685" spans="7:15" ht="24.95" customHeight="1" x14ac:dyDescent="0.25">
      <c r="G685" s="9"/>
      <c r="H685" s="9"/>
      <c r="I685" s="9"/>
      <c r="J685" s="9"/>
      <c r="K685" s="9"/>
      <c r="L685" s="9"/>
      <c r="M685" s="9"/>
      <c r="N685" s="9"/>
      <c r="O685" s="9"/>
    </row>
    <row r="686" spans="7:15" ht="24.95" customHeight="1" x14ac:dyDescent="0.25">
      <c r="G686" s="9"/>
      <c r="H686" s="9"/>
      <c r="I686" s="9"/>
      <c r="J686" s="9"/>
      <c r="K686" s="9"/>
      <c r="L686" s="9"/>
      <c r="M686" s="9"/>
      <c r="N686" s="9"/>
      <c r="O686" s="9"/>
    </row>
    <row r="687" spans="7:15" ht="24.95" customHeight="1" x14ac:dyDescent="0.25">
      <c r="G687" s="9"/>
      <c r="H687" s="9"/>
      <c r="I687" s="9"/>
      <c r="J687" s="9"/>
      <c r="K687" s="9"/>
      <c r="L687" s="9"/>
      <c r="M687" s="9"/>
      <c r="N687" s="9"/>
      <c r="O687" s="9"/>
    </row>
    <row r="688" spans="7:15" ht="24.95" customHeight="1" x14ac:dyDescent="0.25">
      <c r="G688" s="9"/>
      <c r="H688" s="9"/>
      <c r="I688" s="9"/>
      <c r="J688" s="9"/>
      <c r="K688" s="9"/>
      <c r="L688" s="9"/>
      <c r="M688" s="9"/>
      <c r="N688" s="9"/>
      <c r="O688" s="9"/>
    </row>
    <row r="689" spans="7:15" ht="24.95" customHeight="1" x14ac:dyDescent="0.25">
      <c r="G689" s="9"/>
      <c r="H689" s="9"/>
      <c r="I689" s="9"/>
      <c r="J689" s="9"/>
      <c r="K689" s="9"/>
      <c r="L689" s="9"/>
      <c r="M689" s="9"/>
      <c r="N689" s="9"/>
      <c r="O689" s="9"/>
    </row>
    <row r="690" spans="7:15" ht="24.95" customHeight="1" x14ac:dyDescent="0.25">
      <c r="G690" s="9"/>
      <c r="H690" s="9"/>
      <c r="I690" s="9"/>
      <c r="J690" s="9"/>
      <c r="K690" s="9"/>
      <c r="L690" s="9"/>
      <c r="M690" s="9"/>
      <c r="N690" s="9"/>
      <c r="O690" s="9"/>
    </row>
    <row r="691" spans="7:15" ht="24.95" customHeight="1" x14ac:dyDescent="0.25">
      <c r="G691" s="9"/>
      <c r="H691" s="9"/>
      <c r="I691" s="9"/>
      <c r="J691" s="9"/>
      <c r="K691" s="9"/>
      <c r="L691" s="9"/>
      <c r="M691" s="9"/>
      <c r="N691" s="9"/>
      <c r="O691" s="9"/>
    </row>
    <row r="692" spans="7:15" ht="24.95" customHeight="1" x14ac:dyDescent="0.25">
      <c r="G692" s="9"/>
      <c r="H692" s="9"/>
      <c r="I692" s="9"/>
      <c r="J692" s="9"/>
      <c r="K692" s="9"/>
      <c r="L692" s="9"/>
      <c r="M692" s="9"/>
      <c r="N692" s="9"/>
      <c r="O692" s="9"/>
    </row>
    <row r="693" spans="7:15" ht="24.95" customHeight="1" x14ac:dyDescent="0.25">
      <c r="G693" s="9"/>
      <c r="H693" s="9"/>
      <c r="I693" s="9"/>
      <c r="J693" s="9"/>
      <c r="K693" s="9"/>
      <c r="L693" s="9"/>
      <c r="M693" s="9"/>
      <c r="N693" s="9"/>
      <c r="O693" s="9"/>
    </row>
  </sheetData>
  <mergeCells count="64">
    <mergeCell ref="A151:C186"/>
    <mergeCell ref="A235:C270"/>
    <mergeCell ref="A271:C290"/>
    <mergeCell ref="A229:C234"/>
    <mergeCell ref="A71:A79"/>
    <mergeCell ref="B74:B79"/>
    <mergeCell ref="C74:C79"/>
    <mergeCell ref="B141:B144"/>
    <mergeCell ref="B145:B148"/>
    <mergeCell ref="A80:A150"/>
    <mergeCell ref="C147:C148"/>
    <mergeCell ref="B149:B150"/>
    <mergeCell ref="B138:B140"/>
    <mergeCell ref="B135:B137"/>
    <mergeCell ref="B86:B92"/>
    <mergeCell ref="B84:B85"/>
    <mergeCell ref="C143:C144"/>
    <mergeCell ref="B129:B134"/>
    <mergeCell ref="B126:B128"/>
    <mergeCell ref="B123:B125"/>
    <mergeCell ref="B120:B122"/>
    <mergeCell ref="B113:B119"/>
    <mergeCell ref="C89:C92"/>
    <mergeCell ref="C109:C112"/>
    <mergeCell ref="C116:C119"/>
    <mergeCell ref="B64:B70"/>
    <mergeCell ref="C67:C70"/>
    <mergeCell ref="B93:B95"/>
    <mergeCell ref="B71:B73"/>
    <mergeCell ref="B80:B81"/>
    <mergeCell ref="B82:B83"/>
    <mergeCell ref="B106:B112"/>
    <mergeCell ref="B103:B105"/>
    <mergeCell ref="B100:B102"/>
    <mergeCell ref="B96:B99"/>
    <mergeCell ref="B57:B63"/>
    <mergeCell ref="C6:C9"/>
    <mergeCell ref="B3:B9"/>
    <mergeCell ref="B13:B16"/>
    <mergeCell ref="A64:A70"/>
    <mergeCell ref="A54:A63"/>
    <mergeCell ref="C60:C63"/>
    <mergeCell ref="B54:B56"/>
    <mergeCell ref="B30:B33"/>
    <mergeCell ref="B34:B36"/>
    <mergeCell ref="A1:C2"/>
    <mergeCell ref="A37:A53"/>
    <mergeCell ref="B37:B43"/>
    <mergeCell ref="C40:C43"/>
    <mergeCell ref="B44:B46"/>
    <mergeCell ref="B47:B50"/>
    <mergeCell ref="B51:B53"/>
    <mergeCell ref="C23:C26"/>
    <mergeCell ref="A3:A19"/>
    <mergeCell ref="B17:B19"/>
    <mergeCell ref="A20:A36"/>
    <mergeCell ref="B20:B26"/>
    <mergeCell ref="B27:B29"/>
    <mergeCell ref="B10:B12"/>
    <mergeCell ref="A225:C228"/>
    <mergeCell ref="A221:C224"/>
    <mergeCell ref="A211:C220"/>
    <mergeCell ref="A207:C210"/>
    <mergeCell ref="A187:C20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</xdr:col>
                <xdr:colOff>733425</xdr:colOff>
                <xdr:row>42</xdr:row>
                <xdr:rowOff>0</xdr:rowOff>
              </from>
              <to>
                <xdr:col>8</xdr:col>
                <xdr:colOff>66675</xdr:colOff>
                <xdr:row>44</xdr:row>
                <xdr:rowOff>57150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3"/>
  <sheetViews>
    <sheetView workbookViewId="0">
      <selection activeCell="E7" sqref="E7"/>
    </sheetView>
  </sheetViews>
  <sheetFormatPr baseColWidth="10" defaultRowHeight="15" x14ac:dyDescent="0.25"/>
  <cols>
    <col min="1" max="1" width="37.7109375" customWidth="1"/>
    <col min="2" max="2" width="9" customWidth="1"/>
    <col min="3" max="3" width="5.42578125" customWidth="1"/>
  </cols>
  <sheetData>
    <row r="1" spans="1:2" ht="39.950000000000003" customHeight="1" x14ac:dyDescent="0.25">
      <c r="A1" s="3" t="s">
        <v>12</v>
      </c>
      <c r="B1" s="1" t="s">
        <v>5</v>
      </c>
    </row>
    <row r="2" spans="1:2" ht="39.950000000000003" customHeight="1" x14ac:dyDescent="0.25">
      <c r="A2" s="3" t="s">
        <v>14</v>
      </c>
      <c r="B2" s="1" t="s">
        <v>13</v>
      </c>
    </row>
    <row r="3" spans="1:2" ht="39.950000000000003" customHeight="1" x14ac:dyDescent="0.25">
      <c r="A3" s="3" t="s">
        <v>9</v>
      </c>
      <c r="B3" s="2">
        <v>297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Modèle récapitulatif gardes</vt:lpstr>
      <vt:lpstr>Paramètres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Récapitulatif gardes</dc:title>
  <dc:subject/>
  <dc:creator/>
  <cp:keywords>fabio.bouche@gmail.com</cp:keywords>
  <dc:description/>
  <cp:lastModifiedBy/>
  <dcterms:created xsi:type="dcterms:W3CDTF">2006-09-16T00:00:00Z</dcterms:created>
  <dcterms:modified xsi:type="dcterms:W3CDTF">2016-07-27T11:47:17Z</dcterms:modified>
  <cp:category>Instruction</cp:category>
  <cp:version>1.1</cp:version>
</cp:coreProperties>
</file>